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S_Form" sheetId="1" state="visible" r:id="rId1"/>
    <sheet name="BS_Map" sheetId="2" state="visible" r:id="rId2"/>
    <sheet name="TB_Detail" sheetId="3" state="visible" r:id="rId3"/>
    <sheet name="COA_Master" sheetId="4" state="visible" r:id="rId4"/>
    <sheet name="Journal_Input" sheetId="5" state="visible" r:id="rId5"/>
    <sheet name="Overview" sheetId="6" state="visible" r:id="rId6"/>
    <sheet name="SourceNotes" sheetId="7" state="visible" r:id="rId7"/>
  </sheets>
  <definedNames>
    <definedName name="_xlnm.Print_Area" localSheetId="0">'BS_Form'!$A$1:$E$46</definedName>
  </definedNames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yyyy/mm/dd"/>
    <numFmt numFmtId="166" formatCode="0.0%;[Red](0.0%);-"/>
    <numFmt numFmtId="167" formatCode="0.0x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</font>
    <font>
      <color rgb="000000FF"/>
    </font>
    <font>
      <color rgb="00000000"/>
    </font>
    <font>
      <color rgb="007F7F7F"/>
    </font>
    <font>
      <color rgb="00008000"/>
    </font>
    <font>
      <b val="1"/>
      <color rgb="00FFFFFF"/>
    </font>
    <font>
      <b val="1"/>
    </font>
    <font>
      <i val="1"/>
      <color rgb="007F7F7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F5FC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3" fillId="4" borderId="2" pivotButton="0" quotePrefix="0" xfId="0"/>
    <xf numFmtId="0" fontId="4" fillId="0" borderId="2" pivotButton="0" quotePrefix="0" xfId="0"/>
    <xf numFmtId="0" fontId="5" fillId="5" borderId="2" pivotButton="0" quotePrefix="0" xfId="0"/>
    <xf numFmtId="0" fontId="5" fillId="0" borderId="2" pivotButton="0" quotePrefix="0" xfId="0"/>
    <xf numFmtId="164" fontId="3" fillId="4" borderId="2" pivotButton="0" quotePrefix="0" xfId="0"/>
    <xf numFmtId="0" fontId="2" fillId="6" borderId="0" pivotButton="0" quotePrefix="0" xfId="0"/>
    <xf numFmtId="0" fontId="3" fillId="0" borderId="2" pivotButton="0" quotePrefix="0" xfId="0"/>
    <xf numFmtId="165" fontId="3" fillId="0" borderId="2" pivotButton="0" quotePrefix="0" xfId="0"/>
    <xf numFmtId="164" fontId="3" fillId="0" borderId="2" pivotButton="0" quotePrefix="0" xfId="0"/>
    <xf numFmtId="0" fontId="4" fillId="0" borderId="0" pivotButton="0" quotePrefix="0" xfId="0"/>
    <xf numFmtId="0" fontId="6" fillId="0" borderId="2" pivotButton="0" quotePrefix="0" xfId="0"/>
    <xf numFmtId="164" fontId="4" fillId="0" borderId="2" pivotButton="0" quotePrefix="0" xfId="0"/>
    <xf numFmtId="0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2" pivotButton="0" quotePrefix="0" xfId="0"/>
    <xf numFmtId="164" fontId="7" fillId="2" borderId="2" pivotButton="0" quotePrefix="0" xfId="0"/>
    <xf numFmtId="166" fontId="7" fillId="2" borderId="2" pivotButton="0" quotePrefix="0" xfId="0"/>
    <xf numFmtId="0" fontId="8" fillId="8" borderId="2" pivotButton="0" quotePrefix="0" xfId="0"/>
    <xf numFmtId="164" fontId="8" fillId="8" borderId="2" pivotButton="0" quotePrefix="0" xfId="0"/>
    <xf numFmtId="166" fontId="8" fillId="8" borderId="2" pivotButton="0" quotePrefix="0" xfId="0"/>
    <xf numFmtId="0" fontId="0" fillId="0" borderId="2" pivotButton="0" quotePrefix="0" xfId="0"/>
    <xf numFmtId="0" fontId="0" fillId="0" borderId="2" pivotButton="0" quotePrefix="0" xfId="0"/>
    <xf numFmtId="164" fontId="0" fillId="0" borderId="2" pivotButton="0" quotePrefix="0" xfId="0"/>
    <xf numFmtId="166" fontId="0" fillId="0" borderId="2" pivotButton="0" quotePrefix="0" xfId="0"/>
    <xf numFmtId="0" fontId="8" fillId="7" borderId="2" pivotButton="0" quotePrefix="0" xfId="0"/>
    <xf numFmtId="164" fontId="8" fillId="7" borderId="2" pivotButton="0" quotePrefix="0" xfId="0"/>
    <xf numFmtId="166" fontId="8" fillId="7" borderId="2" pivotButton="0" quotePrefix="0" xfId="0"/>
    <xf numFmtId="0" fontId="8" fillId="9" borderId="2" pivotButton="0" quotePrefix="0" xfId="0"/>
    <xf numFmtId="164" fontId="8" fillId="9" borderId="2" pivotButton="0" quotePrefix="0" xfId="0"/>
    <xf numFmtId="166" fontId="8" fillId="9" borderId="2" pivotButton="0" quotePrefix="0" xfId="0"/>
    <xf numFmtId="0" fontId="8" fillId="6" borderId="2" pivotButton="0" quotePrefix="0" xfId="0"/>
    <xf numFmtId="164" fontId="8" fillId="6" borderId="2" pivotButton="0" quotePrefix="0" xfId="0"/>
    <xf numFmtId="166" fontId="8" fillId="6" borderId="2" pivotButton="0" quotePrefix="0" xfId="0"/>
    <xf numFmtId="0" fontId="9" fillId="0" borderId="0" pivotButton="0" quotePrefix="0" xfId="0"/>
    <xf numFmtId="0" fontId="7" fillId="2" borderId="0" pivotButton="0" quotePrefix="0" xfId="0"/>
    <xf numFmtId="0" fontId="8" fillId="8" borderId="0" pivotButton="0" quotePrefix="0" xfId="0"/>
    <xf numFmtId="0" fontId="8" fillId="7" borderId="0" pivotButton="0" quotePrefix="0" xfId="0"/>
    <xf numFmtId="0" fontId="8" fillId="9" borderId="0" pivotButton="0" quotePrefix="0" xfId="0"/>
    <xf numFmtId="0" fontId="8" fillId="6" borderId="0" pivotButton="0" quotePrefix="0" xfId="0"/>
    <xf numFmtId="0" fontId="2" fillId="0" borderId="2" pivotButton="0" quotePrefix="0" xfId="0"/>
    <xf numFmtId="167" fontId="4" fillId="0" borderId="2" pivotButton="0" quotePrefix="0" xfId="0"/>
    <xf numFmtId="166" fontId="4" fillId="0" borderId="2" pivotButton="0" quotePrefix="0" xfId="0"/>
    <xf numFmtId="0" fontId="2" fillId="7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DE9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OpenAI</author>
  </authors>
  <commentList>
    <comment ref="A5" authorId="0" shapeId="0">
      <text>
        <t>COAと仕訳から自動集計されます。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M4" authorId="0" shapeId="0">
      <text>
        <t>B/S科目の前期開始残高を入力します。P/L科目は通常 0 開始です。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G7" authorId="0" shapeId="0">
      <text>
        <t>借方科目コード（COA_MasterのCode）</t>
      </text>
    </comment>
    <comment ref="I7" authorId="0" shapeId="0">
      <text>
        <t>貸方科目コード（COA_MasterのCode）</t>
      </text>
    </comment>
    <comment ref="K7" authorId="0" shapeId="0">
      <text>
        <t>正数のみ入力。マイナス入力は禁止。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28" customWidth="1" min="4" max="4"/>
    <col width="16" customWidth="1" min="5" max="5"/>
  </cols>
  <sheetData>
    <row r="1" ht="18" customHeight="1">
      <c r="A1" s="1" t="inlineStr">
        <is>
          <t>貸借対照表</t>
        </is>
      </c>
    </row>
    <row r="2" ht="18" customHeight="1">
      <c r="A2" s="40" t="inlineStr">
        <is>
          <t>※ 単年度出力用。資産の部と負債・純資産の部を左右に分けて表示。</t>
        </is>
      </c>
    </row>
    <row r="3" ht="18" customHeight="1"/>
    <row r="4" ht="18" customHeight="1">
      <c r="A4" s="4" t="inlineStr">
        <is>
          <t>資産の部</t>
        </is>
      </c>
      <c r="B4" s="4" t="inlineStr">
        <is>
          <t>金額</t>
        </is>
      </c>
      <c r="C4" s="4" t="n"/>
      <c r="D4" s="4" t="inlineStr">
        <is>
          <t>負債・純資産の部</t>
        </is>
      </c>
      <c r="E4" s="4" t="inlineStr">
        <is>
          <t>金額</t>
        </is>
      </c>
    </row>
    <row r="5" ht="18" customHeight="1">
      <c r="A5" s="21" t="inlineStr">
        <is>
          <t>資産の部</t>
        </is>
      </c>
      <c r="B5" s="22" t="n"/>
      <c r="C5" s="22" t="n"/>
      <c r="D5" s="21" t="inlineStr">
        <is>
          <t>負債の部</t>
        </is>
      </c>
      <c r="E5" s="23" t="n"/>
    </row>
    <row r="6" ht="18" customHeight="1">
      <c r="A6" s="24" t="inlineStr">
        <is>
          <t>流動資産</t>
        </is>
      </c>
      <c r="B6" s="25" t="n"/>
      <c r="C6" s="25" t="n"/>
      <c r="D6" s="24" t="inlineStr">
        <is>
          <t>流動負債</t>
        </is>
      </c>
      <c r="E6" s="26" t="n"/>
    </row>
    <row r="7" ht="18" customHeight="1">
      <c r="A7" s="28" t="inlineStr">
        <is>
          <t>現金及び預金</t>
        </is>
      </c>
      <c r="B7" s="29">
        <f>BS_Map!D6</f>
        <v/>
      </c>
      <c r="C7" s="29" t="n"/>
      <c r="D7" s="28" t="inlineStr">
        <is>
          <t>買掛金</t>
        </is>
      </c>
      <c r="E7" s="29">
        <f>BS_Map!D49</f>
        <v/>
      </c>
    </row>
    <row r="8" ht="18" customHeight="1">
      <c r="A8" s="28" t="inlineStr">
        <is>
          <t>受取手形・売掛金</t>
        </is>
      </c>
      <c r="B8" s="29">
        <f>BS_Map!D7</f>
        <v/>
      </c>
      <c r="C8" s="29" t="n"/>
      <c r="D8" s="28" t="inlineStr">
        <is>
          <t>短期借入金</t>
        </is>
      </c>
      <c r="E8" s="29">
        <f>BS_Map!D50</f>
        <v/>
      </c>
    </row>
    <row r="9" ht="18" customHeight="1">
      <c r="A9" s="28" t="inlineStr">
        <is>
          <t>電子記録債権</t>
        </is>
      </c>
      <c r="B9" s="29">
        <f>BS_Map!D8</f>
        <v/>
      </c>
      <c r="C9" s="29" t="n"/>
      <c r="D9" s="28" t="inlineStr">
        <is>
          <t>1年内返済予定の長期借入金</t>
        </is>
      </c>
      <c r="E9" s="29">
        <f>BS_Map!D51</f>
        <v/>
      </c>
    </row>
    <row r="10" ht="18" customHeight="1">
      <c r="A10" s="28" t="inlineStr">
        <is>
          <t>有価証券</t>
        </is>
      </c>
      <c r="B10" s="29">
        <f>BS_Map!D9</f>
        <v/>
      </c>
      <c r="C10" s="29" t="n"/>
      <c r="D10" s="28" t="inlineStr">
        <is>
          <t>未払金</t>
        </is>
      </c>
      <c r="E10" s="29">
        <f>BS_Map!D52</f>
        <v/>
      </c>
    </row>
    <row r="11" ht="18" customHeight="1">
      <c r="A11" s="28" t="inlineStr">
        <is>
          <t>商品及び製品</t>
        </is>
      </c>
      <c r="B11" s="29">
        <f>BS_Map!D10</f>
        <v/>
      </c>
      <c r="C11" s="29" t="n"/>
      <c r="D11" s="28" t="inlineStr">
        <is>
          <t>未払費用</t>
        </is>
      </c>
      <c r="E11" s="29">
        <f>BS_Map!D53</f>
        <v/>
      </c>
    </row>
    <row r="12" ht="18" customHeight="1">
      <c r="A12" s="28" t="inlineStr">
        <is>
          <t>仕掛品</t>
        </is>
      </c>
      <c r="B12" s="29">
        <f>BS_Map!D11</f>
        <v/>
      </c>
      <c r="C12" s="29" t="n"/>
      <c r="D12" s="28" t="inlineStr">
        <is>
          <t>未払法人税等</t>
        </is>
      </c>
      <c r="E12" s="29">
        <f>BS_Map!D54</f>
        <v/>
      </c>
    </row>
    <row r="13" ht="18" customHeight="1">
      <c r="A13" s="28" t="inlineStr">
        <is>
          <t>原材料及び貯蔵品</t>
        </is>
      </c>
      <c r="B13" s="29">
        <f>BS_Map!D12</f>
        <v/>
      </c>
      <c r="C13" s="29" t="n"/>
      <c r="D13" s="28" t="inlineStr">
        <is>
          <t>契約負債</t>
        </is>
      </c>
      <c r="E13" s="29">
        <f>BS_Map!D55</f>
        <v/>
      </c>
    </row>
    <row r="14" ht="18" customHeight="1">
      <c r="A14" s="28" t="inlineStr">
        <is>
          <t>前払費用</t>
        </is>
      </c>
      <c r="B14" s="29">
        <f>BS_Map!D13</f>
        <v/>
      </c>
      <c r="C14" s="29" t="n"/>
      <c r="D14" s="28" t="inlineStr">
        <is>
          <t>預り金</t>
        </is>
      </c>
      <c r="E14" s="29">
        <f>BS_Map!D56</f>
        <v/>
      </c>
    </row>
    <row r="15" ht="18" customHeight="1">
      <c r="A15" s="28" t="inlineStr">
        <is>
          <t>短期貸付金</t>
        </is>
      </c>
      <c r="B15" s="29">
        <f>BS_Map!D14</f>
        <v/>
      </c>
      <c r="C15" s="29" t="n"/>
      <c r="D15" s="28" t="inlineStr">
        <is>
          <t>賞与引当金</t>
        </is>
      </c>
      <c r="E15" s="29">
        <f>BS_Map!D57</f>
        <v/>
      </c>
    </row>
    <row r="16" ht="18" customHeight="1">
      <c r="A16" s="28" t="inlineStr">
        <is>
          <t>未収収益</t>
        </is>
      </c>
      <c r="B16" s="29">
        <f>BS_Map!D15</f>
        <v/>
      </c>
      <c r="C16" s="29" t="n"/>
      <c r="D16" s="28" t="inlineStr">
        <is>
          <t>リース債務（流動）</t>
        </is>
      </c>
      <c r="E16" s="29">
        <f>BS_Map!D58</f>
        <v/>
      </c>
    </row>
    <row r="17" ht="18" customHeight="1">
      <c r="A17" s="28" t="inlineStr">
        <is>
          <t>その他の流動資産</t>
        </is>
      </c>
      <c r="B17" s="29">
        <f>BS_Map!D16</f>
        <v/>
      </c>
      <c r="C17" s="29" t="n"/>
      <c r="D17" s="28" t="inlineStr">
        <is>
          <t>その他の流動負債</t>
        </is>
      </c>
      <c r="E17" s="29">
        <f>BS_Map!D59</f>
        <v/>
      </c>
    </row>
    <row r="18" ht="18" customHeight="1">
      <c r="A18" s="28" t="inlineStr">
        <is>
          <t>貸倒引当金（流動）</t>
        </is>
      </c>
      <c r="B18" s="29">
        <f>BS_Map!D17</f>
        <v/>
      </c>
      <c r="C18" s="29" t="n"/>
      <c r="D18" s="31" t="inlineStr">
        <is>
          <t>流動負債合計</t>
        </is>
      </c>
      <c r="E18" s="32">
        <f>BS_Map!D60</f>
        <v/>
      </c>
    </row>
    <row r="19" ht="18" customHeight="1">
      <c r="A19" s="31" t="inlineStr">
        <is>
          <t>流動資産合計</t>
        </is>
      </c>
      <c r="B19" s="32">
        <f>BS_Map!D18</f>
        <v/>
      </c>
      <c r="C19" s="32" t="n"/>
      <c r="D19" s="24" t="inlineStr">
        <is>
          <t>固定負債</t>
        </is>
      </c>
      <c r="E19" s="33" t="n"/>
    </row>
    <row r="20" ht="18" customHeight="1">
      <c r="A20" s="24" t="inlineStr">
        <is>
          <t>固定資産</t>
        </is>
      </c>
      <c r="B20" s="25" t="n"/>
      <c r="C20" s="25" t="n"/>
      <c r="D20" s="28" t="inlineStr">
        <is>
          <t>社債</t>
        </is>
      </c>
      <c r="E20" s="29">
        <f>BS_Map!D62</f>
        <v/>
      </c>
    </row>
    <row r="21" ht="18" customHeight="1">
      <c r="A21" s="24" t="inlineStr">
        <is>
          <t>有形固定資産</t>
        </is>
      </c>
      <c r="B21" s="25" t="n"/>
      <c r="C21" s="25" t="n"/>
      <c r="D21" s="28" t="inlineStr">
        <is>
          <t>長期借入金</t>
        </is>
      </c>
      <c r="E21" s="29">
        <f>BS_Map!D63</f>
        <v/>
      </c>
    </row>
    <row r="22" ht="18" customHeight="1">
      <c r="A22" s="28" t="inlineStr">
        <is>
          <t>建物及び構築物</t>
        </is>
      </c>
      <c r="B22" s="29">
        <f>BS_Map!D21</f>
        <v/>
      </c>
      <c r="C22" s="29" t="n"/>
      <c r="D22" s="28" t="inlineStr">
        <is>
          <t>長期未払金</t>
        </is>
      </c>
      <c r="E22" s="29">
        <f>BS_Map!D64</f>
        <v/>
      </c>
    </row>
    <row r="23" ht="18" customHeight="1">
      <c r="A23" s="28" t="inlineStr">
        <is>
          <t>機械装置及び車両運搬具</t>
        </is>
      </c>
      <c r="B23" s="29">
        <f>BS_Map!D22</f>
        <v/>
      </c>
      <c r="C23" s="29" t="n"/>
      <c r="D23" s="28" t="inlineStr">
        <is>
          <t>リース債務（固定）</t>
        </is>
      </c>
      <c r="E23" s="29">
        <f>BS_Map!D65</f>
        <v/>
      </c>
    </row>
    <row r="24" ht="18" customHeight="1">
      <c r="A24" s="28" t="inlineStr">
        <is>
          <t>工具器具備品</t>
        </is>
      </c>
      <c r="B24" s="29">
        <f>BS_Map!D23</f>
        <v/>
      </c>
      <c r="C24" s="29" t="n"/>
      <c r="D24" s="28" t="inlineStr">
        <is>
          <t>繰延税金負債</t>
        </is>
      </c>
      <c r="E24" s="29">
        <f>BS_Map!D66</f>
        <v/>
      </c>
    </row>
    <row r="25" ht="18" customHeight="1">
      <c r="A25" s="28" t="inlineStr">
        <is>
          <t>土地</t>
        </is>
      </c>
      <c r="B25" s="29">
        <f>BS_Map!D24</f>
        <v/>
      </c>
      <c r="C25" s="29" t="n"/>
      <c r="D25" s="28" t="inlineStr">
        <is>
          <t>退職給付引当金</t>
        </is>
      </c>
      <c r="E25" s="29">
        <f>BS_Map!D67</f>
        <v/>
      </c>
    </row>
    <row r="26" ht="18" customHeight="1">
      <c r="A26" s="28" t="inlineStr">
        <is>
          <t>リース資産</t>
        </is>
      </c>
      <c r="B26" s="29">
        <f>BS_Map!D25</f>
        <v/>
      </c>
      <c r="C26" s="29" t="n"/>
      <c r="D26" s="28" t="inlineStr">
        <is>
          <t>資産除去債務</t>
        </is>
      </c>
      <c r="E26" s="29">
        <f>BS_Map!D68</f>
        <v/>
      </c>
    </row>
    <row r="27" ht="18" customHeight="1">
      <c r="A27" s="28" t="inlineStr">
        <is>
          <t>建設仮勘定</t>
        </is>
      </c>
      <c r="B27" s="29">
        <f>BS_Map!D26</f>
        <v/>
      </c>
      <c r="C27" s="29" t="n"/>
      <c r="D27" s="28" t="inlineStr">
        <is>
          <t>その他の固定負債</t>
        </is>
      </c>
      <c r="E27" s="29">
        <f>BS_Map!D69</f>
        <v/>
      </c>
    </row>
    <row r="28" ht="18" customHeight="1">
      <c r="A28" s="28" t="inlineStr">
        <is>
          <t>減価償却累計額</t>
        </is>
      </c>
      <c r="B28" s="29">
        <f>BS_Map!D27</f>
        <v/>
      </c>
      <c r="C28" s="29" t="n"/>
      <c r="D28" s="31" t="inlineStr">
        <is>
          <t>固定負債合計</t>
        </is>
      </c>
      <c r="E28" s="32">
        <f>BS_Map!D70</f>
        <v/>
      </c>
    </row>
    <row r="29" ht="18" customHeight="1">
      <c r="A29" s="31" t="inlineStr">
        <is>
          <t>有形固定資産合計</t>
        </is>
      </c>
      <c r="B29" s="32">
        <f>BS_Map!D28</f>
        <v/>
      </c>
      <c r="C29" s="32" t="n"/>
      <c r="D29" s="34" t="inlineStr">
        <is>
          <t>負債合計</t>
        </is>
      </c>
      <c r="E29" s="35">
        <f>BS_Map!D71</f>
        <v/>
      </c>
    </row>
    <row r="30" ht="18" customHeight="1">
      <c r="A30" s="24" t="inlineStr">
        <is>
          <t>無形固定資産</t>
        </is>
      </c>
      <c r="B30" s="25" t="n"/>
      <c r="C30" s="25" t="n"/>
      <c r="D30" s="21" t="inlineStr">
        <is>
          <t>純資産の部</t>
        </is>
      </c>
      <c r="E30" s="26" t="n"/>
    </row>
    <row r="31" ht="18" customHeight="1">
      <c r="A31" s="28" t="inlineStr">
        <is>
          <t>のれん</t>
        </is>
      </c>
      <c r="B31" s="29">
        <f>BS_Map!D30</f>
        <v/>
      </c>
      <c r="C31" s="29" t="n"/>
      <c r="D31" s="28" t="inlineStr">
        <is>
          <t>資本金</t>
        </is>
      </c>
      <c r="E31" s="29">
        <f>BS_Map!D74</f>
        <v/>
      </c>
    </row>
    <row r="32" ht="18" customHeight="1">
      <c r="A32" s="28" t="inlineStr">
        <is>
          <t>ソフトウェア</t>
        </is>
      </c>
      <c r="B32" s="29">
        <f>BS_Map!D31</f>
        <v/>
      </c>
      <c r="C32" s="29" t="n"/>
      <c r="D32" s="28" t="inlineStr">
        <is>
          <t>資本剰余金</t>
        </is>
      </c>
      <c r="E32" s="29">
        <f>BS_Map!D75</f>
        <v/>
      </c>
    </row>
    <row r="33" ht="18" customHeight="1">
      <c r="A33" s="28" t="inlineStr">
        <is>
          <t>その他の無形固定資産</t>
        </is>
      </c>
      <c r="B33" s="29">
        <f>BS_Map!D32</f>
        <v/>
      </c>
      <c r="C33" s="29" t="n"/>
      <c r="D33" s="28" t="inlineStr">
        <is>
          <t>利益剰余金</t>
        </is>
      </c>
      <c r="E33" s="29">
        <f>BS_Map!D76</f>
        <v/>
      </c>
    </row>
    <row r="34" ht="18" customHeight="1">
      <c r="A34" s="31" t="inlineStr">
        <is>
          <t>無形固定資産合計</t>
        </is>
      </c>
      <c r="B34" s="32">
        <f>BS_Map!D33</f>
        <v/>
      </c>
      <c r="C34" s="32" t="n"/>
      <c r="D34" s="28" t="inlineStr">
        <is>
          <t>自己株式</t>
        </is>
      </c>
      <c r="E34" s="29">
        <f>BS_Map!D77</f>
        <v/>
      </c>
    </row>
    <row r="35" ht="18" customHeight="1">
      <c r="A35" s="24" t="inlineStr">
        <is>
          <t>投資その他の資産</t>
        </is>
      </c>
      <c r="B35" s="25" t="n"/>
      <c r="C35" s="25" t="n"/>
      <c r="D35" s="28" t="inlineStr">
        <is>
          <t>その他有価証券評価差額金</t>
        </is>
      </c>
      <c r="E35" s="29">
        <f>BS_Map!D78</f>
        <v/>
      </c>
    </row>
    <row r="36" ht="18" customHeight="1">
      <c r="A36" s="28" t="inlineStr">
        <is>
          <t>投資有価証券</t>
        </is>
      </c>
      <c r="B36" s="29">
        <f>BS_Map!D35</f>
        <v/>
      </c>
      <c r="C36" s="29" t="n"/>
      <c r="D36" s="28" t="inlineStr">
        <is>
          <t>為替換算調整勘定</t>
        </is>
      </c>
      <c r="E36" s="29">
        <f>BS_Map!D79</f>
        <v/>
      </c>
    </row>
    <row r="37" ht="18" customHeight="1">
      <c r="A37" s="28" t="inlineStr">
        <is>
          <t>関係会社株式</t>
        </is>
      </c>
      <c r="B37" s="29">
        <f>BS_Map!D36</f>
        <v/>
      </c>
      <c r="C37" s="29" t="n"/>
      <c r="D37" s="28" t="inlineStr">
        <is>
          <t>非支配株主持分</t>
        </is>
      </c>
      <c r="E37" s="29">
        <f>BS_Map!D80</f>
        <v/>
      </c>
    </row>
    <row r="38" ht="18" customHeight="1">
      <c r="A38" s="28" t="inlineStr">
        <is>
          <t>長期貸付金</t>
        </is>
      </c>
      <c r="B38" s="29">
        <f>BS_Map!D37</f>
        <v/>
      </c>
      <c r="C38" s="29" t="n"/>
      <c r="D38" s="34" t="inlineStr">
        <is>
          <t>純資産合計</t>
        </is>
      </c>
      <c r="E38" s="35">
        <f>BS_Map!D81</f>
        <v/>
      </c>
    </row>
    <row r="39" ht="18" customHeight="1">
      <c r="A39" s="28" t="inlineStr">
        <is>
          <t>繰延税金資産</t>
        </is>
      </c>
      <c r="B39" s="29">
        <f>BS_Map!D38</f>
        <v/>
      </c>
      <c r="C39" s="29" t="n"/>
      <c r="D39" s="37" t="inlineStr">
        <is>
          <t>負債純資産合計</t>
        </is>
      </c>
      <c r="E39" s="38">
        <f>BS_Map!D82</f>
        <v/>
      </c>
    </row>
    <row r="40" ht="18" customHeight="1">
      <c r="A40" s="28" t="inlineStr">
        <is>
          <t>差入保証金</t>
        </is>
      </c>
      <c r="B40" s="29">
        <f>BS_Map!D39</f>
        <v/>
      </c>
      <c r="C40" s="29" t="n"/>
      <c r="D40" s="29" t="n"/>
      <c r="E40" s="30" t="n"/>
    </row>
    <row r="41" ht="18" customHeight="1">
      <c r="A41" s="28" t="inlineStr">
        <is>
          <t>退職給付資産</t>
        </is>
      </c>
      <c r="B41" s="29">
        <f>BS_Map!D40</f>
        <v/>
      </c>
      <c r="C41" s="29" t="n"/>
      <c r="D41" s="29" t="n"/>
      <c r="E41" s="30" t="n"/>
    </row>
    <row r="42" ht="18" customHeight="1">
      <c r="A42" s="28" t="inlineStr">
        <is>
          <t>その他の投資その他の資産</t>
        </is>
      </c>
      <c r="B42" s="29">
        <f>BS_Map!D41</f>
        <v/>
      </c>
      <c r="C42" s="29" t="n"/>
      <c r="D42" s="29" t="n"/>
      <c r="E42" s="30" t="n"/>
    </row>
    <row r="43" ht="18" customHeight="1">
      <c r="A43" s="28" t="inlineStr">
        <is>
          <t>貸倒引当金（固定）</t>
        </is>
      </c>
      <c r="B43" s="29">
        <f>BS_Map!D42</f>
        <v/>
      </c>
      <c r="C43" s="29" t="n"/>
      <c r="D43" s="29" t="n"/>
      <c r="E43" s="30" t="n"/>
    </row>
    <row r="44" ht="18" customHeight="1">
      <c r="A44" s="31" t="inlineStr">
        <is>
          <t>投資その他の資産合計</t>
        </is>
      </c>
      <c r="B44" s="32">
        <f>BS_Map!D43</f>
        <v/>
      </c>
      <c r="C44" s="32" t="n"/>
      <c r="D44" s="32" t="n"/>
      <c r="E44" s="33" t="n"/>
    </row>
    <row r="45" ht="18" customHeight="1">
      <c r="A45" s="31" t="inlineStr">
        <is>
          <t>固定資産合計</t>
        </is>
      </c>
      <c r="B45" s="32">
        <f>BS_Map!D44</f>
        <v/>
      </c>
      <c r="C45" s="32" t="n"/>
      <c r="D45" s="32" t="n"/>
      <c r="E45" s="33" t="n"/>
    </row>
    <row r="46" ht="18" customHeight="1">
      <c r="A46" s="34" t="inlineStr">
        <is>
          <t>資産合計</t>
        </is>
      </c>
      <c r="B46" s="35">
        <f>BS_Map!D45</f>
        <v/>
      </c>
      <c r="C46" s="35" t="n"/>
      <c r="D46" s="35" t="n"/>
      <c r="E46" s="36" t="n"/>
    </row>
  </sheetData>
  <mergeCells count="2">
    <mergeCell ref="A2:E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H8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8" customHeight="1">
      <c r="A1" s="1" t="inlineStr">
        <is>
          <t>B/S 中間集計（単年度）</t>
        </is>
      </c>
    </row>
    <row r="2" ht="18" customHeight="1"/>
    <row r="3" ht="18" customHeight="1">
      <c r="A3" s="4" t="inlineStr">
        <is>
          <t>Kind</t>
        </is>
      </c>
      <c r="B3" s="4" t="inlineStr">
        <is>
          <t>表示名</t>
        </is>
      </c>
      <c r="C3" s="4" t="inlineStr">
        <is>
          <t>Line Item Key</t>
        </is>
      </c>
      <c r="D3" s="4" t="inlineStr">
        <is>
          <t>当期末</t>
        </is>
      </c>
    </row>
    <row r="4" ht="18" customHeight="1">
      <c r="A4" s="21" t="inlineStr">
        <is>
          <t>SECTION</t>
        </is>
      </c>
      <c r="B4" s="21" t="inlineStr">
        <is>
          <t>資産</t>
        </is>
      </c>
      <c r="C4" s="21" t="inlineStr"/>
      <c r="D4" s="22" t="n"/>
    </row>
    <row r="5" ht="18" customHeight="1">
      <c r="A5" s="24" t="inlineStr">
        <is>
          <t>SUBSECTION</t>
        </is>
      </c>
      <c r="B5" s="24" t="inlineStr">
        <is>
          <t>流動資産</t>
        </is>
      </c>
      <c r="C5" s="24" t="inlineStr"/>
      <c r="D5" s="25" t="n"/>
    </row>
    <row r="6" ht="18" customHeight="1">
      <c r="A6" s="28" t="inlineStr">
        <is>
          <t>DETAIL</t>
        </is>
      </c>
      <c r="B6" s="28" t="inlineStr">
        <is>
          <t>現金及び預金</t>
        </is>
      </c>
      <c r="C6" s="28" t="inlineStr">
        <is>
          <t>Cash and Deposits</t>
        </is>
      </c>
      <c r="D6" s="29">
        <f>SUMIFS(TB_Detail!$R$6:$R$101,TB_Detail!$C$6:$C$101,"BS",TB_Detail!$F$6:$F$101,C6)</f>
        <v/>
      </c>
    </row>
    <row r="7" ht="18" customHeight="1">
      <c r="A7" s="28" t="inlineStr">
        <is>
          <t>DETAIL</t>
        </is>
      </c>
      <c r="B7" s="28" t="inlineStr">
        <is>
          <t>受取手形・売掛金</t>
        </is>
      </c>
      <c r="C7" s="28" t="inlineStr">
        <is>
          <t>Notes and Accounts Receivable - Trade</t>
        </is>
      </c>
      <c r="D7" s="29">
        <f>SUMIFS(TB_Detail!$R$6:$R$101,TB_Detail!$C$6:$C$101,"BS",TB_Detail!$F$6:$F$101,C7)</f>
        <v/>
      </c>
    </row>
    <row r="8" ht="18" customHeight="1">
      <c r="A8" s="28" t="inlineStr">
        <is>
          <t>DETAIL</t>
        </is>
      </c>
      <c r="B8" s="28" t="inlineStr">
        <is>
          <t>電子記録債権</t>
        </is>
      </c>
      <c r="C8" s="28" t="inlineStr">
        <is>
          <t>Electronically Recorded Monetary Claims - Operating</t>
        </is>
      </c>
      <c r="D8" s="29">
        <f>SUMIFS(TB_Detail!$R$6:$R$101,TB_Detail!$C$6:$C$101,"BS",TB_Detail!$F$6:$F$101,C8)</f>
        <v/>
      </c>
    </row>
    <row r="9" ht="18" customHeight="1">
      <c r="A9" s="28" t="inlineStr">
        <is>
          <t>DETAIL</t>
        </is>
      </c>
      <c r="B9" s="28" t="inlineStr">
        <is>
          <t>有価証券</t>
        </is>
      </c>
      <c r="C9" s="28" t="inlineStr">
        <is>
          <t>Securities</t>
        </is>
      </c>
      <c r="D9" s="29">
        <f>SUMIFS(TB_Detail!$R$6:$R$101,TB_Detail!$C$6:$C$101,"BS",TB_Detail!$F$6:$F$101,C9)</f>
        <v/>
      </c>
    </row>
    <row r="10" ht="18" customHeight="1">
      <c r="A10" s="28" t="inlineStr">
        <is>
          <t>DETAIL</t>
        </is>
      </c>
      <c r="B10" s="28" t="inlineStr">
        <is>
          <t>商品及び製品</t>
        </is>
      </c>
      <c r="C10" s="28" t="inlineStr">
        <is>
          <t>Merchandise and Finished Goods</t>
        </is>
      </c>
      <c r="D10" s="29">
        <f>SUMIFS(TB_Detail!$R$6:$R$101,TB_Detail!$C$6:$C$101,"BS",TB_Detail!$F$6:$F$101,C10)</f>
        <v/>
      </c>
    </row>
    <row r="11" ht="18" customHeight="1">
      <c r="A11" s="28" t="inlineStr">
        <is>
          <t>DETAIL</t>
        </is>
      </c>
      <c r="B11" s="28" t="inlineStr">
        <is>
          <t>仕掛品</t>
        </is>
      </c>
      <c r="C11" s="28" t="inlineStr">
        <is>
          <t>Work in Process</t>
        </is>
      </c>
      <c r="D11" s="29">
        <f>SUMIFS(TB_Detail!$R$6:$R$101,TB_Detail!$C$6:$C$101,"BS",TB_Detail!$F$6:$F$101,C11)</f>
        <v/>
      </c>
    </row>
    <row r="12" ht="18" customHeight="1">
      <c r="A12" s="28" t="inlineStr">
        <is>
          <t>DETAIL</t>
        </is>
      </c>
      <c r="B12" s="28" t="inlineStr">
        <is>
          <t>原材料及び貯蔵品</t>
        </is>
      </c>
      <c r="C12" s="28" t="inlineStr">
        <is>
          <t>Raw Materials and Supplies</t>
        </is>
      </c>
      <c r="D12" s="29">
        <f>SUMIFS(TB_Detail!$R$6:$R$101,TB_Detail!$C$6:$C$101,"BS",TB_Detail!$F$6:$F$101,C12)</f>
        <v/>
      </c>
    </row>
    <row r="13" ht="18" customHeight="1">
      <c r="A13" s="28" t="inlineStr">
        <is>
          <t>DETAIL</t>
        </is>
      </c>
      <c r="B13" s="28" t="inlineStr">
        <is>
          <t>前払費用</t>
        </is>
      </c>
      <c r="C13" s="28" t="inlineStr">
        <is>
          <t>Prepaid Expenses</t>
        </is>
      </c>
      <c r="D13" s="29">
        <f>SUMIFS(TB_Detail!$R$6:$R$101,TB_Detail!$C$6:$C$101,"BS",TB_Detail!$F$6:$F$101,C13)</f>
        <v/>
      </c>
    </row>
    <row r="14" ht="18" customHeight="1">
      <c r="A14" s="28" t="inlineStr">
        <is>
          <t>DETAIL</t>
        </is>
      </c>
      <c r="B14" s="28" t="inlineStr">
        <is>
          <t>短期貸付金</t>
        </is>
      </c>
      <c r="C14" s="28" t="inlineStr">
        <is>
          <t>Short-term Loans Receivable</t>
        </is>
      </c>
      <c r="D14" s="29">
        <f>SUMIFS(TB_Detail!$R$6:$R$101,TB_Detail!$C$6:$C$101,"BS",TB_Detail!$F$6:$F$101,C14)</f>
        <v/>
      </c>
    </row>
    <row r="15" ht="18" customHeight="1">
      <c r="A15" s="28" t="inlineStr">
        <is>
          <t>DETAIL</t>
        </is>
      </c>
      <c r="B15" s="28" t="inlineStr">
        <is>
          <t>未収収益</t>
        </is>
      </c>
      <c r="C15" s="28" t="inlineStr">
        <is>
          <t>Accrued Income</t>
        </is>
      </c>
      <c r="D15" s="29">
        <f>SUMIFS(TB_Detail!$R$6:$R$101,TB_Detail!$C$6:$C$101,"BS",TB_Detail!$F$6:$F$101,C15)</f>
        <v/>
      </c>
    </row>
    <row r="16" ht="18" customHeight="1">
      <c r="A16" s="28" t="inlineStr">
        <is>
          <t>DETAIL</t>
        </is>
      </c>
      <c r="B16" s="28" t="inlineStr">
        <is>
          <t>その他の流動資産</t>
        </is>
      </c>
      <c r="C16" s="28" t="inlineStr">
        <is>
          <t>Other Current Assets</t>
        </is>
      </c>
      <c r="D16" s="29">
        <f>SUMIFS(TB_Detail!$R$6:$R$101,TB_Detail!$C$6:$C$101,"BS",TB_Detail!$F$6:$F$101,C16)</f>
        <v/>
      </c>
    </row>
    <row r="17" ht="18" customHeight="1">
      <c r="A17" s="28" t="inlineStr">
        <is>
          <t>DETAIL</t>
        </is>
      </c>
      <c r="B17" s="28" t="inlineStr">
        <is>
          <t>貸倒引当金（流動）</t>
        </is>
      </c>
      <c r="C17" s="28" t="inlineStr">
        <is>
          <t>Allowance for Doubtful Accounts (Current)</t>
        </is>
      </c>
      <c r="D17" s="29">
        <f>SUMIFS(TB_Detail!$R$6:$R$101,TB_Detail!$C$6:$C$101,"BS",TB_Detail!$F$6:$F$101,C17)</f>
        <v/>
      </c>
    </row>
    <row r="18" ht="18" customHeight="1">
      <c r="A18" s="31" t="inlineStr">
        <is>
          <t>TOTAL</t>
        </is>
      </c>
      <c r="B18" s="31" t="inlineStr">
        <is>
          <t>流動資産合計</t>
        </is>
      </c>
      <c r="C18" s="31" t="inlineStr"/>
      <c r="D18" s="32">
        <f>SUM(D6:D17)</f>
        <v/>
      </c>
    </row>
    <row r="19" ht="18" customHeight="1">
      <c r="A19" s="24" t="inlineStr">
        <is>
          <t>SUBSECTION</t>
        </is>
      </c>
      <c r="B19" s="24" t="inlineStr">
        <is>
          <t>固定資産</t>
        </is>
      </c>
      <c r="C19" s="24" t="inlineStr"/>
      <c r="D19" s="25" t="n"/>
    </row>
    <row r="20" ht="18" customHeight="1">
      <c r="A20" s="24" t="inlineStr">
        <is>
          <t>MINOR</t>
        </is>
      </c>
      <c r="B20" s="24" t="inlineStr">
        <is>
          <t>有形固定資産</t>
        </is>
      </c>
      <c r="C20" s="24" t="inlineStr"/>
      <c r="D20" s="25" t="n"/>
    </row>
    <row r="21" ht="18" customHeight="1">
      <c r="A21" s="28" t="inlineStr">
        <is>
          <t>DETAIL</t>
        </is>
      </c>
      <c r="B21" s="28" t="inlineStr">
        <is>
          <t>建物及び構築物</t>
        </is>
      </c>
      <c r="C21" s="28" t="inlineStr">
        <is>
          <t>Buildings and Structures</t>
        </is>
      </c>
      <c r="D21" s="29">
        <f>SUMIFS(TB_Detail!$R$6:$R$101,TB_Detail!$C$6:$C$101,"BS",TB_Detail!$F$6:$F$101,C21)</f>
        <v/>
      </c>
    </row>
    <row r="22" ht="18" customHeight="1">
      <c r="A22" s="28" t="inlineStr">
        <is>
          <t>DETAIL</t>
        </is>
      </c>
      <c r="B22" s="28" t="inlineStr">
        <is>
          <t>機械装置及び車両運搬具</t>
        </is>
      </c>
      <c r="C22" s="28" t="inlineStr">
        <is>
          <t>Machinery, Equipment and Vehicles</t>
        </is>
      </c>
      <c r="D22" s="29">
        <f>SUMIFS(TB_Detail!$R$6:$R$101,TB_Detail!$C$6:$C$101,"BS",TB_Detail!$F$6:$F$101,C22)</f>
        <v/>
      </c>
    </row>
    <row r="23" ht="18" customHeight="1">
      <c r="A23" s="28" t="inlineStr">
        <is>
          <t>DETAIL</t>
        </is>
      </c>
      <c r="B23" s="28" t="inlineStr">
        <is>
          <t>工具器具備品</t>
        </is>
      </c>
      <c r="C23" s="28" t="inlineStr">
        <is>
          <t>Tools, Furniture and Fixtures</t>
        </is>
      </c>
      <c r="D23" s="29">
        <f>SUMIFS(TB_Detail!$R$6:$R$101,TB_Detail!$C$6:$C$101,"BS",TB_Detail!$F$6:$F$101,C23)</f>
        <v/>
      </c>
    </row>
    <row r="24" ht="18" customHeight="1">
      <c r="A24" s="28" t="inlineStr">
        <is>
          <t>DETAIL</t>
        </is>
      </c>
      <c r="B24" s="28" t="inlineStr">
        <is>
          <t>土地</t>
        </is>
      </c>
      <c r="C24" s="28" t="inlineStr">
        <is>
          <t>Land</t>
        </is>
      </c>
      <c r="D24" s="29">
        <f>SUMIFS(TB_Detail!$R$6:$R$101,TB_Detail!$C$6:$C$101,"BS",TB_Detail!$F$6:$F$101,C24)</f>
        <v/>
      </c>
    </row>
    <row r="25" ht="18" customHeight="1">
      <c r="A25" s="28" t="inlineStr">
        <is>
          <t>DETAIL</t>
        </is>
      </c>
      <c r="B25" s="28" t="inlineStr">
        <is>
          <t>リース資産</t>
        </is>
      </c>
      <c r="C25" s="28" t="inlineStr">
        <is>
          <t>Leased Assets</t>
        </is>
      </c>
      <c r="D25" s="29">
        <f>SUMIFS(TB_Detail!$R$6:$R$101,TB_Detail!$C$6:$C$101,"BS",TB_Detail!$F$6:$F$101,C25)</f>
        <v/>
      </c>
    </row>
    <row r="26" ht="18" customHeight="1">
      <c r="A26" s="28" t="inlineStr">
        <is>
          <t>DETAIL</t>
        </is>
      </c>
      <c r="B26" s="28" t="inlineStr">
        <is>
          <t>建設仮勘定</t>
        </is>
      </c>
      <c r="C26" s="28" t="inlineStr">
        <is>
          <t>Construction in Progress</t>
        </is>
      </c>
      <c r="D26" s="29">
        <f>SUMIFS(TB_Detail!$R$6:$R$101,TB_Detail!$C$6:$C$101,"BS",TB_Detail!$F$6:$F$101,C26)</f>
        <v/>
      </c>
    </row>
    <row r="27" ht="18" customHeight="1">
      <c r="A27" s="28" t="inlineStr">
        <is>
          <t>DETAIL</t>
        </is>
      </c>
      <c r="B27" s="28" t="inlineStr">
        <is>
          <t>減価償却累計額</t>
        </is>
      </c>
      <c r="C27" s="28" t="inlineStr">
        <is>
          <t>Accumulated Depreciation</t>
        </is>
      </c>
      <c r="D27" s="29">
        <f>SUMIFS(TB_Detail!$R$6:$R$101,TB_Detail!$C$6:$C$101,"BS",TB_Detail!$F$6:$F$101,C27)</f>
        <v/>
      </c>
    </row>
    <row r="28" ht="18" customHeight="1">
      <c r="A28" s="31" t="inlineStr">
        <is>
          <t>TOTAL</t>
        </is>
      </c>
      <c r="B28" s="31" t="inlineStr">
        <is>
          <t>有形固定資産合計</t>
        </is>
      </c>
      <c r="C28" s="31" t="inlineStr"/>
      <c r="D28" s="32">
        <f>SUM(D21:D27)</f>
        <v/>
      </c>
    </row>
    <row r="29" ht="18" customHeight="1">
      <c r="A29" s="24" t="inlineStr">
        <is>
          <t>MINOR</t>
        </is>
      </c>
      <c r="B29" s="24" t="inlineStr">
        <is>
          <t>無形固定資産</t>
        </is>
      </c>
      <c r="C29" s="24" t="inlineStr"/>
      <c r="D29" s="25" t="n"/>
    </row>
    <row r="30" ht="18" customHeight="1">
      <c r="A30" s="28" t="inlineStr">
        <is>
          <t>DETAIL</t>
        </is>
      </c>
      <c r="B30" s="28" t="inlineStr">
        <is>
          <t>のれん</t>
        </is>
      </c>
      <c r="C30" s="28" t="inlineStr">
        <is>
          <t>Goodwill</t>
        </is>
      </c>
      <c r="D30" s="29">
        <f>SUMIFS(TB_Detail!$R$6:$R$101,TB_Detail!$C$6:$C$101,"BS",TB_Detail!$F$6:$F$101,C30)</f>
        <v/>
      </c>
    </row>
    <row r="31" ht="18" customHeight="1">
      <c r="A31" s="28" t="inlineStr">
        <is>
          <t>DETAIL</t>
        </is>
      </c>
      <c r="B31" s="28" t="inlineStr">
        <is>
          <t>ソフトウェア</t>
        </is>
      </c>
      <c r="C31" s="28" t="inlineStr">
        <is>
          <t>Software</t>
        </is>
      </c>
      <c r="D31" s="29">
        <f>SUMIFS(TB_Detail!$R$6:$R$101,TB_Detail!$C$6:$C$101,"BS",TB_Detail!$F$6:$F$101,C31)</f>
        <v/>
      </c>
    </row>
    <row r="32" ht="18" customHeight="1">
      <c r="A32" s="28" t="inlineStr">
        <is>
          <t>DETAIL</t>
        </is>
      </c>
      <c r="B32" s="28" t="inlineStr">
        <is>
          <t>その他の無形固定資産</t>
        </is>
      </c>
      <c r="C32" s="28" t="inlineStr">
        <is>
          <t>Other Intangible Assets</t>
        </is>
      </c>
      <c r="D32" s="29">
        <f>SUMIFS(TB_Detail!$R$6:$R$101,TB_Detail!$C$6:$C$101,"BS",TB_Detail!$F$6:$F$101,C32)</f>
        <v/>
      </c>
    </row>
    <row r="33" ht="18" customHeight="1">
      <c r="A33" s="31" t="inlineStr">
        <is>
          <t>TOTAL</t>
        </is>
      </c>
      <c r="B33" s="31" t="inlineStr">
        <is>
          <t>無形固定資産合計</t>
        </is>
      </c>
      <c r="C33" s="31" t="inlineStr"/>
      <c r="D33" s="32">
        <f>SUM(D30:D32)</f>
        <v/>
      </c>
    </row>
    <row r="34" ht="18" customHeight="1">
      <c r="A34" s="24" t="inlineStr">
        <is>
          <t>MINOR</t>
        </is>
      </c>
      <c r="B34" s="24" t="inlineStr">
        <is>
          <t>投資その他の資産</t>
        </is>
      </c>
      <c r="C34" s="24" t="inlineStr"/>
      <c r="D34" s="25" t="n"/>
    </row>
    <row r="35" ht="18" customHeight="1">
      <c r="A35" s="28" t="inlineStr">
        <is>
          <t>DETAIL</t>
        </is>
      </c>
      <c r="B35" s="28" t="inlineStr">
        <is>
          <t>投資有価証券</t>
        </is>
      </c>
      <c r="C35" s="28" t="inlineStr">
        <is>
          <t>Investment Securities</t>
        </is>
      </c>
      <c r="D35" s="29">
        <f>SUMIFS(TB_Detail!$R$6:$R$101,TB_Detail!$C$6:$C$101,"BS",TB_Detail!$F$6:$F$101,C35)</f>
        <v/>
      </c>
    </row>
    <row r="36" ht="18" customHeight="1">
      <c r="A36" s="28" t="inlineStr">
        <is>
          <t>DETAIL</t>
        </is>
      </c>
      <c r="B36" s="28" t="inlineStr">
        <is>
          <t>関係会社株式</t>
        </is>
      </c>
      <c r="C36" s="28" t="inlineStr">
        <is>
          <t>Shares of Subsidiaries and Associates</t>
        </is>
      </c>
      <c r="D36" s="29">
        <f>SUMIFS(TB_Detail!$R$6:$R$101,TB_Detail!$C$6:$C$101,"BS",TB_Detail!$F$6:$F$101,C36)</f>
        <v/>
      </c>
    </row>
    <row r="37" ht="18" customHeight="1">
      <c r="A37" s="28" t="inlineStr">
        <is>
          <t>DETAIL</t>
        </is>
      </c>
      <c r="B37" s="28" t="inlineStr">
        <is>
          <t>長期貸付金</t>
        </is>
      </c>
      <c r="C37" s="28" t="inlineStr">
        <is>
          <t>Long-term Loans Receivable</t>
        </is>
      </c>
      <c r="D37" s="29">
        <f>SUMIFS(TB_Detail!$R$6:$R$101,TB_Detail!$C$6:$C$101,"BS",TB_Detail!$F$6:$F$101,C37)</f>
        <v/>
      </c>
    </row>
    <row r="38" ht="18" customHeight="1">
      <c r="A38" s="28" t="inlineStr">
        <is>
          <t>DETAIL</t>
        </is>
      </c>
      <c r="B38" s="28" t="inlineStr">
        <is>
          <t>繰延税金資産</t>
        </is>
      </c>
      <c r="C38" s="28" t="inlineStr">
        <is>
          <t>Deferred Tax Assets</t>
        </is>
      </c>
      <c r="D38" s="29">
        <f>SUMIFS(TB_Detail!$R$6:$R$101,TB_Detail!$C$6:$C$101,"BS",TB_Detail!$F$6:$F$101,C38)</f>
        <v/>
      </c>
    </row>
    <row r="39" ht="18" customHeight="1">
      <c r="A39" s="28" t="inlineStr">
        <is>
          <t>DETAIL</t>
        </is>
      </c>
      <c r="B39" s="28" t="inlineStr">
        <is>
          <t>差入保証金</t>
        </is>
      </c>
      <c r="C39" s="28" t="inlineStr">
        <is>
          <t>Guarantee Deposits</t>
        </is>
      </c>
      <c r="D39" s="29">
        <f>SUMIFS(TB_Detail!$R$6:$R$101,TB_Detail!$C$6:$C$101,"BS",TB_Detail!$F$6:$F$101,C39)</f>
        <v/>
      </c>
    </row>
    <row r="40" ht="18" customHeight="1">
      <c r="A40" s="28" t="inlineStr">
        <is>
          <t>DETAIL</t>
        </is>
      </c>
      <c r="B40" s="28" t="inlineStr">
        <is>
          <t>退職給付資産</t>
        </is>
      </c>
      <c r="C40" s="28" t="inlineStr">
        <is>
          <t>Retirement Benefit Asset</t>
        </is>
      </c>
      <c r="D40" s="29">
        <f>SUMIFS(TB_Detail!$R$6:$R$101,TB_Detail!$C$6:$C$101,"BS",TB_Detail!$F$6:$F$101,C40)</f>
        <v/>
      </c>
    </row>
    <row r="41" ht="18" customHeight="1">
      <c r="A41" s="28" t="inlineStr">
        <is>
          <t>DETAIL</t>
        </is>
      </c>
      <c r="B41" s="28" t="inlineStr">
        <is>
          <t>その他の投資その他の資産</t>
        </is>
      </c>
      <c r="C41" s="28" t="inlineStr">
        <is>
          <t>Other Investments and Other Assets</t>
        </is>
      </c>
      <c r="D41" s="29">
        <f>SUMIFS(TB_Detail!$R$6:$R$101,TB_Detail!$C$6:$C$101,"BS",TB_Detail!$F$6:$F$101,C41)</f>
        <v/>
      </c>
    </row>
    <row r="42" ht="18" customHeight="1">
      <c r="A42" s="28" t="inlineStr">
        <is>
          <t>DETAIL</t>
        </is>
      </c>
      <c r="B42" s="28" t="inlineStr">
        <is>
          <t>貸倒引当金（固定）</t>
        </is>
      </c>
      <c r="C42" s="28" t="inlineStr">
        <is>
          <t>Allowance for Doubtful Accounts (Non-current)</t>
        </is>
      </c>
      <c r="D42" s="29">
        <f>SUMIFS(TB_Detail!$R$6:$R$101,TB_Detail!$C$6:$C$101,"BS",TB_Detail!$F$6:$F$101,C42)</f>
        <v/>
      </c>
    </row>
    <row r="43" ht="18" customHeight="1">
      <c r="A43" s="31" t="inlineStr">
        <is>
          <t>TOTAL</t>
        </is>
      </c>
      <c r="B43" s="31" t="inlineStr">
        <is>
          <t>投資その他の資産合計</t>
        </is>
      </c>
      <c r="C43" s="31" t="inlineStr"/>
      <c r="D43" s="32">
        <f>SUM(D35:D42)</f>
        <v/>
      </c>
    </row>
    <row r="44" ht="18" customHeight="1">
      <c r="A44" s="31" t="inlineStr">
        <is>
          <t>TOTAL</t>
        </is>
      </c>
      <c r="B44" s="31" t="inlineStr">
        <is>
          <t>固定資産合計</t>
        </is>
      </c>
      <c r="C44" s="31" t="inlineStr"/>
      <c r="D44" s="32">
        <f>D28+D33+D43</f>
        <v/>
      </c>
    </row>
    <row r="45" ht="18" customHeight="1">
      <c r="A45" s="34" t="inlineStr">
        <is>
          <t>GRANDTOTAL</t>
        </is>
      </c>
      <c r="B45" s="34" t="inlineStr">
        <is>
          <t>資産合計</t>
        </is>
      </c>
      <c r="C45" s="34" t="inlineStr"/>
      <c r="D45" s="35">
        <f>D18+D44</f>
        <v/>
      </c>
    </row>
    <row r="46" ht="18" customHeight="1">
      <c r="A46" s="28" t="inlineStr">
        <is>
          <t>BLANK</t>
        </is>
      </c>
      <c r="B46" s="28" t="inlineStr"/>
      <c r="C46" s="28" t="inlineStr"/>
      <c r="D46" s="29" t="n"/>
    </row>
    <row r="47" ht="18" customHeight="1">
      <c r="A47" s="21" t="inlineStr">
        <is>
          <t>SECTION</t>
        </is>
      </c>
      <c r="B47" s="21" t="inlineStr">
        <is>
          <t>負債</t>
        </is>
      </c>
      <c r="C47" s="21" t="inlineStr"/>
      <c r="D47" s="22" t="n"/>
    </row>
    <row r="48" ht="18" customHeight="1">
      <c r="A48" s="24" t="inlineStr">
        <is>
          <t>SUBSECTION</t>
        </is>
      </c>
      <c r="B48" s="24" t="inlineStr">
        <is>
          <t>流動負債</t>
        </is>
      </c>
      <c r="C48" s="24" t="inlineStr"/>
      <c r="D48" s="25" t="n"/>
    </row>
    <row r="49" ht="18" customHeight="1">
      <c r="A49" s="28" t="inlineStr">
        <is>
          <t>DETAIL</t>
        </is>
      </c>
      <c r="B49" s="28" t="inlineStr">
        <is>
          <t>買掛金</t>
        </is>
      </c>
      <c r="C49" s="28" t="inlineStr">
        <is>
          <t>Notes and Accounts Payable - Trade</t>
        </is>
      </c>
      <c r="D49" s="29">
        <f>SUMIFS(TB_Detail!$R$6:$R$101,TB_Detail!$C$6:$C$101,"BS",TB_Detail!$F$6:$F$101,C49)</f>
        <v/>
      </c>
    </row>
    <row r="50" ht="18" customHeight="1">
      <c r="A50" s="28" t="inlineStr">
        <is>
          <t>DETAIL</t>
        </is>
      </c>
      <c r="B50" s="28" t="inlineStr">
        <is>
          <t>短期借入金</t>
        </is>
      </c>
      <c r="C50" s="28" t="inlineStr">
        <is>
          <t>Short-term Borrowings</t>
        </is>
      </c>
      <c r="D50" s="29">
        <f>SUMIFS(TB_Detail!$R$6:$R$101,TB_Detail!$C$6:$C$101,"BS",TB_Detail!$F$6:$F$101,C50)</f>
        <v/>
      </c>
    </row>
    <row r="51" ht="18" customHeight="1">
      <c r="A51" s="28" t="inlineStr">
        <is>
          <t>DETAIL</t>
        </is>
      </c>
      <c r="B51" s="28" t="inlineStr">
        <is>
          <t>1年内返済予定の長期借入金</t>
        </is>
      </c>
      <c r="C51" s="28" t="inlineStr">
        <is>
          <t>Current Portion of Long-term Borrowings</t>
        </is>
      </c>
      <c r="D51" s="29">
        <f>SUMIFS(TB_Detail!$R$6:$R$101,TB_Detail!$C$6:$C$101,"BS",TB_Detail!$F$6:$F$101,C51)</f>
        <v/>
      </c>
    </row>
    <row r="52" ht="18" customHeight="1">
      <c r="A52" s="28" t="inlineStr">
        <is>
          <t>DETAIL</t>
        </is>
      </c>
      <c r="B52" s="28" t="inlineStr">
        <is>
          <t>未払金</t>
        </is>
      </c>
      <c r="C52" s="28" t="inlineStr">
        <is>
          <t>Accounts Payable - Other</t>
        </is>
      </c>
      <c r="D52" s="29">
        <f>SUMIFS(TB_Detail!$R$6:$R$101,TB_Detail!$C$6:$C$101,"BS",TB_Detail!$F$6:$F$101,C52)</f>
        <v/>
      </c>
    </row>
    <row r="53" ht="18" customHeight="1">
      <c r="A53" s="28" t="inlineStr">
        <is>
          <t>DETAIL</t>
        </is>
      </c>
      <c r="B53" s="28" t="inlineStr">
        <is>
          <t>未払費用</t>
        </is>
      </c>
      <c r="C53" s="28" t="inlineStr">
        <is>
          <t>Accrued Expenses</t>
        </is>
      </c>
      <c r="D53" s="29">
        <f>SUMIFS(TB_Detail!$R$6:$R$101,TB_Detail!$C$6:$C$101,"BS",TB_Detail!$F$6:$F$101,C53)</f>
        <v/>
      </c>
    </row>
    <row r="54" ht="18" customHeight="1">
      <c r="A54" s="28" t="inlineStr">
        <is>
          <t>DETAIL</t>
        </is>
      </c>
      <c r="B54" s="28" t="inlineStr">
        <is>
          <t>未払法人税等</t>
        </is>
      </c>
      <c r="C54" s="28" t="inlineStr">
        <is>
          <t>Income Taxes Payable</t>
        </is>
      </c>
      <c r="D54" s="29">
        <f>SUMIFS(TB_Detail!$R$6:$R$101,TB_Detail!$C$6:$C$101,"BS",TB_Detail!$F$6:$F$101,C54)</f>
        <v/>
      </c>
    </row>
    <row r="55" ht="18" customHeight="1">
      <c r="A55" s="28" t="inlineStr">
        <is>
          <t>DETAIL</t>
        </is>
      </c>
      <c r="B55" s="28" t="inlineStr">
        <is>
          <t>契約負債</t>
        </is>
      </c>
      <c r="C55" s="28" t="inlineStr">
        <is>
          <t>Contract Liabilities</t>
        </is>
      </c>
      <c r="D55" s="29">
        <f>SUMIFS(TB_Detail!$R$6:$R$101,TB_Detail!$C$6:$C$101,"BS",TB_Detail!$F$6:$F$101,C55)</f>
        <v/>
      </c>
    </row>
    <row r="56" ht="18" customHeight="1">
      <c r="A56" s="28" t="inlineStr">
        <is>
          <t>DETAIL</t>
        </is>
      </c>
      <c r="B56" s="28" t="inlineStr">
        <is>
          <t>預り金</t>
        </is>
      </c>
      <c r="C56" s="28" t="inlineStr">
        <is>
          <t>Deposits Received</t>
        </is>
      </c>
      <c r="D56" s="29">
        <f>SUMIFS(TB_Detail!$R$6:$R$101,TB_Detail!$C$6:$C$101,"BS",TB_Detail!$F$6:$F$101,C56)</f>
        <v/>
      </c>
    </row>
    <row r="57" ht="18" customHeight="1">
      <c r="A57" s="28" t="inlineStr">
        <is>
          <t>DETAIL</t>
        </is>
      </c>
      <c r="B57" s="28" t="inlineStr">
        <is>
          <t>賞与引当金</t>
        </is>
      </c>
      <c r="C57" s="28" t="inlineStr">
        <is>
          <t>Provision for Bonuses</t>
        </is>
      </c>
      <c r="D57" s="29">
        <f>SUMIFS(TB_Detail!$R$6:$R$101,TB_Detail!$C$6:$C$101,"BS",TB_Detail!$F$6:$F$101,C57)</f>
        <v/>
      </c>
    </row>
    <row r="58" ht="18" customHeight="1">
      <c r="A58" s="28" t="inlineStr">
        <is>
          <t>DETAIL</t>
        </is>
      </c>
      <c r="B58" s="28" t="inlineStr">
        <is>
          <t>リース債務（流動）</t>
        </is>
      </c>
      <c r="C58" s="28" t="inlineStr">
        <is>
          <t>Current Lease Obligations</t>
        </is>
      </c>
      <c r="D58" s="29">
        <f>SUMIFS(TB_Detail!$R$6:$R$101,TB_Detail!$C$6:$C$101,"BS",TB_Detail!$F$6:$F$101,C58)</f>
        <v/>
      </c>
    </row>
    <row r="59" ht="18" customHeight="1">
      <c r="A59" s="28" t="inlineStr">
        <is>
          <t>DETAIL</t>
        </is>
      </c>
      <c r="B59" s="28" t="inlineStr">
        <is>
          <t>その他の流動負債</t>
        </is>
      </c>
      <c r="C59" s="28" t="inlineStr">
        <is>
          <t>Other Current Liabilities</t>
        </is>
      </c>
      <c r="D59" s="29">
        <f>SUMIFS(TB_Detail!$R$6:$R$101,TB_Detail!$C$6:$C$101,"BS",TB_Detail!$F$6:$F$101,C59)</f>
        <v/>
      </c>
    </row>
    <row r="60" ht="18" customHeight="1">
      <c r="A60" s="31" t="inlineStr">
        <is>
          <t>TOTAL</t>
        </is>
      </c>
      <c r="B60" s="31" t="inlineStr">
        <is>
          <t>流動負債合計</t>
        </is>
      </c>
      <c r="C60" s="31" t="inlineStr"/>
      <c r="D60" s="32">
        <f>SUM(D49:D59)</f>
        <v/>
      </c>
    </row>
    <row r="61" ht="18" customHeight="1">
      <c r="A61" s="24" t="inlineStr">
        <is>
          <t>SUBSECTION</t>
        </is>
      </c>
      <c r="B61" s="24" t="inlineStr">
        <is>
          <t>固定負債</t>
        </is>
      </c>
      <c r="C61" s="24" t="inlineStr"/>
      <c r="D61" s="25" t="n"/>
    </row>
    <row r="62" ht="18" customHeight="1">
      <c r="A62" s="28" t="inlineStr">
        <is>
          <t>DETAIL</t>
        </is>
      </c>
      <c r="B62" s="28" t="inlineStr">
        <is>
          <t>社債</t>
        </is>
      </c>
      <c r="C62" s="28" t="inlineStr">
        <is>
          <t>Bonds Payable</t>
        </is>
      </c>
      <c r="D62" s="29">
        <f>SUMIFS(TB_Detail!$R$6:$R$101,TB_Detail!$C$6:$C$101,"BS",TB_Detail!$F$6:$F$101,C62)</f>
        <v/>
      </c>
    </row>
    <row r="63" ht="18" customHeight="1">
      <c r="A63" s="28" t="inlineStr">
        <is>
          <t>DETAIL</t>
        </is>
      </c>
      <c r="B63" s="28" t="inlineStr">
        <is>
          <t>長期借入金</t>
        </is>
      </c>
      <c r="C63" s="28" t="inlineStr">
        <is>
          <t>Long-term Borrowings</t>
        </is>
      </c>
      <c r="D63" s="29">
        <f>SUMIFS(TB_Detail!$R$6:$R$101,TB_Detail!$C$6:$C$101,"BS",TB_Detail!$F$6:$F$101,C63)</f>
        <v/>
      </c>
    </row>
    <row r="64" ht="18" customHeight="1">
      <c r="A64" s="28" t="inlineStr">
        <is>
          <t>DETAIL</t>
        </is>
      </c>
      <c r="B64" s="28" t="inlineStr">
        <is>
          <t>長期未払金</t>
        </is>
      </c>
      <c r="C64" s="28" t="inlineStr">
        <is>
          <t>Long-term Accounts Payable - Other</t>
        </is>
      </c>
      <c r="D64" s="29">
        <f>SUMIFS(TB_Detail!$R$6:$R$101,TB_Detail!$C$6:$C$101,"BS",TB_Detail!$F$6:$F$101,C64)</f>
        <v/>
      </c>
    </row>
    <row r="65" ht="18" customHeight="1">
      <c r="A65" s="28" t="inlineStr">
        <is>
          <t>DETAIL</t>
        </is>
      </c>
      <c r="B65" s="28" t="inlineStr">
        <is>
          <t>リース債務（固定）</t>
        </is>
      </c>
      <c r="C65" s="28" t="inlineStr">
        <is>
          <t>Non-current Lease Obligations</t>
        </is>
      </c>
      <c r="D65" s="29">
        <f>SUMIFS(TB_Detail!$R$6:$R$101,TB_Detail!$C$6:$C$101,"BS",TB_Detail!$F$6:$F$101,C65)</f>
        <v/>
      </c>
    </row>
    <row r="66" ht="18" customHeight="1">
      <c r="A66" s="28" t="inlineStr">
        <is>
          <t>DETAIL</t>
        </is>
      </c>
      <c r="B66" s="28" t="inlineStr">
        <is>
          <t>繰延税金負債</t>
        </is>
      </c>
      <c r="C66" s="28" t="inlineStr">
        <is>
          <t>Deferred Tax Liabilities</t>
        </is>
      </c>
      <c r="D66" s="29">
        <f>SUMIFS(TB_Detail!$R$6:$R$101,TB_Detail!$C$6:$C$101,"BS",TB_Detail!$F$6:$F$101,C66)</f>
        <v/>
      </c>
    </row>
    <row r="67" ht="18" customHeight="1">
      <c r="A67" s="28" t="inlineStr">
        <is>
          <t>DETAIL</t>
        </is>
      </c>
      <c r="B67" s="28" t="inlineStr">
        <is>
          <t>退職給付引当金</t>
        </is>
      </c>
      <c r="C67" s="28" t="inlineStr">
        <is>
          <t>Retirement Benefit Liability</t>
        </is>
      </c>
      <c r="D67" s="29">
        <f>SUMIFS(TB_Detail!$R$6:$R$101,TB_Detail!$C$6:$C$101,"BS",TB_Detail!$F$6:$F$101,C67)</f>
        <v/>
      </c>
    </row>
    <row r="68" ht="18" customHeight="1">
      <c r="A68" s="28" t="inlineStr">
        <is>
          <t>DETAIL</t>
        </is>
      </c>
      <c r="B68" s="28" t="inlineStr">
        <is>
          <t>資産除去債務</t>
        </is>
      </c>
      <c r="C68" s="28" t="inlineStr">
        <is>
          <t>Asset Retirement Obligations</t>
        </is>
      </c>
      <c r="D68" s="29">
        <f>SUMIFS(TB_Detail!$R$6:$R$101,TB_Detail!$C$6:$C$101,"BS",TB_Detail!$F$6:$F$101,C68)</f>
        <v/>
      </c>
    </row>
    <row r="69" ht="18" customHeight="1">
      <c r="A69" s="28" t="inlineStr">
        <is>
          <t>DETAIL</t>
        </is>
      </c>
      <c r="B69" s="28" t="inlineStr">
        <is>
          <t>その他の固定負債</t>
        </is>
      </c>
      <c r="C69" s="28" t="inlineStr">
        <is>
          <t>Other Non-current Liabilities</t>
        </is>
      </c>
      <c r="D69" s="29">
        <f>SUMIFS(TB_Detail!$R$6:$R$101,TB_Detail!$C$6:$C$101,"BS",TB_Detail!$F$6:$F$101,C69)</f>
        <v/>
      </c>
    </row>
    <row r="70" ht="18" customHeight="1">
      <c r="A70" s="31" t="inlineStr">
        <is>
          <t>TOTAL</t>
        </is>
      </c>
      <c r="B70" s="31" t="inlineStr">
        <is>
          <t>固定負債合計</t>
        </is>
      </c>
      <c r="C70" s="31" t="inlineStr"/>
      <c r="D70" s="32">
        <f>SUM(D62:D69)</f>
        <v/>
      </c>
    </row>
    <row r="71" ht="18" customHeight="1">
      <c r="A71" s="34" t="inlineStr">
        <is>
          <t>GRANDTOTAL</t>
        </is>
      </c>
      <c r="B71" s="34" t="inlineStr">
        <is>
          <t>負債合計</t>
        </is>
      </c>
      <c r="C71" s="34" t="inlineStr"/>
      <c r="D71" s="35">
        <f>D60+D70</f>
        <v/>
      </c>
    </row>
    <row r="72" ht="18" customHeight="1">
      <c r="A72" s="28" t="inlineStr">
        <is>
          <t>BLANK</t>
        </is>
      </c>
      <c r="B72" s="28" t="inlineStr"/>
      <c r="C72" s="28" t="inlineStr"/>
      <c r="D72" s="29" t="n"/>
    </row>
    <row r="73" ht="18" customHeight="1">
      <c r="A73" s="21" t="inlineStr">
        <is>
          <t>SECTION</t>
        </is>
      </c>
      <c r="B73" s="21" t="inlineStr">
        <is>
          <t>純資産</t>
        </is>
      </c>
      <c r="C73" s="21" t="inlineStr"/>
      <c r="D73" s="22" t="n"/>
    </row>
    <row r="74" ht="18" customHeight="1">
      <c r="A74" s="28" t="inlineStr">
        <is>
          <t>DETAIL</t>
        </is>
      </c>
      <c r="B74" s="28" t="inlineStr">
        <is>
          <t>資本金</t>
        </is>
      </c>
      <c r="C74" s="28" t="inlineStr">
        <is>
          <t>Share Capital</t>
        </is>
      </c>
      <c r="D74" s="29">
        <f>SUMIFS(TB_Detail!$R$6:$R$101,TB_Detail!$C$6:$C$101,"BS",TB_Detail!$F$6:$F$101,C74)</f>
        <v/>
      </c>
    </row>
    <row r="75" ht="18" customHeight="1">
      <c r="A75" s="28" t="inlineStr">
        <is>
          <t>DETAIL</t>
        </is>
      </c>
      <c r="B75" s="28" t="inlineStr">
        <is>
          <t>資本剰余金</t>
        </is>
      </c>
      <c r="C75" s="28" t="inlineStr">
        <is>
          <t>Capital Surplus</t>
        </is>
      </c>
      <c r="D75" s="29">
        <f>SUMIFS(TB_Detail!$R$6:$R$101,TB_Detail!$C$6:$C$101,"BS",TB_Detail!$F$6:$F$101,C75)</f>
        <v/>
      </c>
    </row>
    <row r="76" ht="18" customHeight="1">
      <c r="A76" s="28" t="inlineStr">
        <is>
          <t>DETAIL</t>
        </is>
      </c>
      <c r="B76" s="28" t="inlineStr">
        <is>
          <t>利益剰余金</t>
        </is>
      </c>
      <c r="C76" s="28" t="inlineStr">
        <is>
          <t>Retained Earnings</t>
        </is>
      </c>
      <c r="D76" s="29">
        <f>SUMIFS(TB_Detail!$R$6:$R$101,TB_Detail!$C$6:$C$101,"BS",TB_Detail!$F$6:$F$101,C76)</f>
        <v/>
      </c>
    </row>
    <row r="77" ht="18" customHeight="1">
      <c r="A77" s="28" t="inlineStr">
        <is>
          <t>DETAIL</t>
        </is>
      </c>
      <c r="B77" s="28" t="inlineStr">
        <is>
          <t>自己株式</t>
        </is>
      </c>
      <c r="C77" s="28" t="inlineStr">
        <is>
          <t>Treasury Stock</t>
        </is>
      </c>
      <c r="D77" s="29">
        <f>SUMIFS(TB_Detail!$R$6:$R$101,TB_Detail!$C$6:$C$101,"BS",TB_Detail!$F$6:$F$101,C77)</f>
        <v/>
      </c>
    </row>
    <row r="78" ht="18" customHeight="1">
      <c r="A78" s="28" t="inlineStr">
        <is>
          <t>DETAIL</t>
        </is>
      </c>
      <c r="B78" s="28" t="inlineStr">
        <is>
          <t>その他有価証券評価差額金</t>
        </is>
      </c>
      <c r="C78" s="28" t="inlineStr">
        <is>
          <t>Valuation Difference on Available-for-Sale Securities</t>
        </is>
      </c>
      <c r="D78" s="29">
        <f>SUMIFS(TB_Detail!$R$6:$R$101,TB_Detail!$C$6:$C$101,"BS",TB_Detail!$F$6:$F$101,C78)</f>
        <v/>
      </c>
    </row>
    <row r="79" ht="18" customHeight="1">
      <c r="A79" s="28" t="inlineStr">
        <is>
          <t>DETAIL</t>
        </is>
      </c>
      <c r="B79" s="28" t="inlineStr">
        <is>
          <t>為替換算調整勘定</t>
        </is>
      </c>
      <c r="C79" s="28" t="inlineStr">
        <is>
          <t>Foreign Currency Translation Adjustment</t>
        </is>
      </c>
      <c r="D79" s="29">
        <f>SUMIFS(TB_Detail!$R$6:$R$101,TB_Detail!$C$6:$C$101,"BS",TB_Detail!$F$6:$F$101,C79)</f>
        <v/>
      </c>
    </row>
    <row r="80" ht="18" customHeight="1">
      <c r="A80" s="28" t="inlineStr">
        <is>
          <t>DETAIL</t>
        </is>
      </c>
      <c r="B80" s="28" t="inlineStr">
        <is>
          <t>非支配株主持分</t>
        </is>
      </c>
      <c r="C80" s="28" t="inlineStr">
        <is>
          <t>Non-controlling Interests</t>
        </is>
      </c>
      <c r="D80" s="29">
        <f>SUMIFS(TB_Detail!$R$6:$R$101,TB_Detail!$C$6:$C$101,"BS",TB_Detail!$F$6:$F$101,C80)</f>
        <v/>
      </c>
    </row>
    <row r="81" ht="18" customHeight="1">
      <c r="A81" s="34" t="inlineStr">
        <is>
          <t>GRANDTOTAL</t>
        </is>
      </c>
      <c r="B81" s="34" t="inlineStr">
        <is>
          <t>純資産合計</t>
        </is>
      </c>
      <c r="C81" s="34" t="inlineStr"/>
      <c r="D81" s="35">
        <f>SUM(D74:D80)</f>
        <v/>
      </c>
    </row>
    <row r="82" ht="18" customHeight="1">
      <c r="A82" s="37" t="inlineStr">
        <is>
          <t>CHECK</t>
        </is>
      </c>
      <c r="B82" s="37" t="inlineStr">
        <is>
          <t>負債純資産合計</t>
        </is>
      </c>
      <c r="C82" s="37" t="inlineStr"/>
      <c r="D82" s="38">
        <f>D71+D81</f>
        <v/>
      </c>
    </row>
    <row r="83" ht="18" customHeight="1">
      <c r="A83" s="37" t="inlineStr">
        <is>
          <t>CHECK</t>
        </is>
      </c>
      <c r="B83" s="37" t="inlineStr">
        <is>
          <t>資産差額チェック</t>
        </is>
      </c>
      <c r="C83" s="37" t="inlineStr"/>
      <c r="D83" s="38">
        <f>D45-D82</f>
        <v/>
      </c>
    </row>
  </sheetData>
  <mergeCells count="1">
    <mergeCell ref="A1:H1"/>
  </mergeCells>
  <conditionalFormatting sqref="D83:E83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8064A2"/>
    <outlinePr summaryBelow="1" summaryRight="1"/>
    <pageSetUpPr/>
  </sheetPr>
  <dimension ref="A1:U10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2" customWidth="1" min="4" max="4"/>
    <col width="16" customWidth="1" min="5" max="5"/>
    <col width="32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18" customWidth="1" min="21" max="21"/>
  </cols>
  <sheetData>
    <row r="1" ht="18" customHeight="1">
      <c r="A1" s="1" t="inlineStr">
        <is>
          <t>試算表詳細（前期 / 当期）</t>
        </is>
      </c>
    </row>
    <row r="2" ht="18" customHeight="1"/>
    <row r="3" ht="18" customHeight="1">
      <c r="A3" s="2" t="inlineStr">
        <is>
          <t>説明</t>
        </is>
      </c>
      <c r="B3" t="inlineStr">
        <is>
          <t>COA_Masterの開始残高とJournal_Inputの仕訳から、前期/当期の試算表・B/S・P/Lを自動算出します。</t>
        </is>
      </c>
    </row>
    <row r="4" ht="18" customHeight="1"/>
    <row r="5" ht="18" customHeight="1">
      <c r="A5" s="4" t="inlineStr">
        <is>
          <t>Code</t>
        </is>
      </c>
      <c r="B5" s="4" t="inlineStr">
        <is>
          <t>勘定科目名</t>
        </is>
      </c>
      <c r="C5" s="4" t="inlineStr">
        <is>
          <t>FS</t>
        </is>
      </c>
      <c r="D5" s="4" t="inlineStr">
        <is>
          <t>大区分</t>
        </is>
      </c>
      <c r="E5" s="4" t="inlineStr">
        <is>
          <t>中区分</t>
        </is>
      </c>
      <c r="F5" s="4" t="inlineStr">
        <is>
          <t>表示行</t>
        </is>
      </c>
      <c r="G5" s="4" t="inlineStr">
        <is>
          <t>Normal</t>
        </is>
      </c>
      <c r="H5" s="4" t="inlineStr">
        <is>
          <t>Display_Sign</t>
        </is>
      </c>
      <c r="I5" s="4" t="inlineStr">
        <is>
          <t>前期開始</t>
        </is>
      </c>
      <c r="J5" s="4" t="inlineStr">
        <is>
          <t>前期借方</t>
        </is>
      </c>
      <c r="K5" s="4" t="inlineStr">
        <is>
          <t>前期貸方</t>
        </is>
      </c>
      <c r="L5" s="4" t="inlineStr">
        <is>
          <t>前期末</t>
        </is>
      </c>
      <c r="M5" s="4" t="inlineStr">
        <is>
          <t>当期開始</t>
        </is>
      </c>
      <c r="N5" s="4" t="inlineStr">
        <is>
          <t>当期借方</t>
        </is>
      </c>
      <c r="O5" s="4" t="inlineStr">
        <is>
          <t>当期貸方</t>
        </is>
      </c>
      <c r="P5" s="4" t="inlineStr">
        <is>
          <t>当期末</t>
        </is>
      </c>
      <c r="Q5" s="4" t="inlineStr">
        <is>
          <t>前期表示額</t>
        </is>
      </c>
      <c r="R5" s="4" t="inlineStr">
        <is>
          <t>当期表示額</t>
        </is>
      </c>
      <c r="S5" s="4" t="inlineStr">
        <is>
          <t>CF_Class</t>
        </is>
      </c>
      <c r="T5" s="4" t="inlineStr">
        <is>
          <t>Analysis_Tag</t>
        </is>
      </c>
      <c r="U5" s="4" t="inlineStr">
        <is>
          <t>Notes</t>
        </is>
      </c>
    </row>
    <row r="6" ht="18" customHeight="1">
      <c r="A6" s="16">
        <f>COA_Master!A5</f>
        <v/>
      </c>
      <c r="B6" s="16">
        <f>COA_Master!B5</f>
        <v/>
      </c>
      <c r="C6" s="16">
        <f>COA_Master!D5</f>
        <v/>
      </c>
      <c r="D6" s="16">
        <f>COA_Master!E5</f>
        <v/>
      </c>
      <c r="E6" s="16">
        <f>COA_Master!F5</f>
        <v/>
      </c>
      <c r="F6" s="16">
        <f>COA_Master!G5</f>
        <v/>
      </c>
      <c r="G6" s="16">
        <f>COA_Master!H5</f>
        <v/>
      </c>
      <c r="H6" s="16">
        <f>COA_Master!I5</f>
        <v/>
      </c>
      <c r="I6" s="17">
        <f>COA_Master!M5</f>
        <v/>
      </c>
      <c r="J6" s="17">
        <f>SUMIFS(Journal_Input!$K$8:$K$184,Journal_Input!$A$8:$A$184,"Prior",Journal_Input!$G$8:$G$184,A6)</f>
        <v/>
      </c>
      <c r="K6" s="17">
        <f>SUMIFS(Journal_Input!$K$8:$K$184,Journal_Input!$A$8:$A$184,"Prior",Journal_Input!$I$8:$I$184,A6)</f>
        <v/>
      </c>
      <c r="L6" s="17">
        <f>IF(G6="Dr",I6+J6-K6,I6-J6+K6)</f>
        <v/>
      </c>
      <c r="M6" s="17">
        <f>L6</f>
        <v/>
      </c>
      <c r="N6" s="17">
        <f>SUMIFS(Journal_Input!$K$8:$K$184,Journal_Input!$A$8:$A$184,"Current",Journal_Input!$G$8:$G$184,A6)</f>
        <v/>
      </c>
      <c r="O6" s="17">
        <f>SUMIFS(Journal_Input!$K$8:$K$184,Journal_Input!$A$8:$A$184,"Current",Journal_Input!$I$8:$I$184,A6)</f>
        <v/>
      </c>
      <c r="P6" s="17">
        <f>IF(G6="Dr",M6+N6-O6,M6-N6+O6)</f>
        <v/>
      </c>
      <c r="Q6" s="17">
        <f>IF(C6="BS",L6*H6,IF(G6="Dr",(J6-K6)*H6,(K6-J6)*H6))</f>
        <v/>
      </c>
      <c r="R6" s="17">
        <f>IF(C6="BS",P6*H6,IF(G6="Dr",(N6-O6)*H6,(O6-N6)*H6))</f>
        <v/>
      </c>
      <c r="S6" s="16">
        <f>COA_Master!K5</f>
        <v/>
      </c>
      <c r="T6" s="16">
        <f>COA_Master!L5</f>
        <v/>
      </c>
      <c r="U6" s="16">
        <f>COA_Master!N5</f>
        <v/>
      </c>
    </row>
    <row r="7" ht="18" customHeight="1">
      <c r="A7" s="16">
        <f>COA_Master!A6</f>
        <v/>
      </c>
      <c r="B7" s="16">
        <f>COA_Master!B6</f>
        <v/>
      </c>
      <c r="C7" s="16">
        <f>COA_Master!D6</f>
        <v/>
      </c>
      <c r="D7" s="16">
        <f>COA_Master!E6</f>
        <v/>
      </c>
      <c r="E7" s="16">
        <f>COA_Master!F6</f>
        <v/>
      </c>
      <c r="F7" s="16">
        <f>COA_Master!G6</f>
        <v/>
      </c>
      <c r="G7" s="16">
        <f>COA_Master!H6</f>
        <v/>
      </c>
      <c r="H7" s="16">
        <f>COA_Master!I6</f>
        <v/>
      </c>
      <c r="I7" s="17">
        <f>COA_Master!M6</f>
        <v/>
      </c>
      <c r="J7" s="17">
        <f>SUMIFS(Journal_Input!$K$8:$K$184,Journal_Input!$A$8:$A$184,"Prior",Journal_Input!$G$8:$G$184,A7)</f>
        <v/>
      </c>
      <c r="K7" s="17">
        <f>SUMIFS(Journal_Input!$K$8:$K$184,Journal_Input!$A$8:$A$184,"Prior",Journal_Input!$I$8:$I$184,A7)</f>
        <v/>
      </c>
      <c r="L7" s="17">
        <f>IF(G7="Dr",I7+J7-K7,I7-J7+K7)</f>
        <v/>
      </c>
      <c r="M7" s="17">
        <f>L7</f>
        <v/>
      </c>
      <c r="N7" s="17">
        <f>SUMIFS(Journal_Input!$K$8:$K$184,Journal_Input!$A$8:$A$184,"Current",Journal_Input!$G$8:$G$184,A7)</f>
        <v/>
      </c>
      <c r="O7" s="17">
        <f>SUMIFS(Journal_Input!$K$8:$K$184,Journal_Input!$A$8:$A$184,"Current",Journal_Input!$I$8:$I$184,A7)</f>
        <v/>
      </c>
      <c r="P7" s="17">
        <f>IF(G7="Dr",M7+N7-O7,M7-N7+O7)</f>
        <v/>
      </c>
      <c r="Q7" s="17">
        <f>IF(C7="BS",L7*H7,IF(G7="Dr",(J7-K7)*H7,(K7-J7)*H7))</f>
        <v/>
      </c>
      <c r="R7" s="17">
        <f>IF(C7="BS",P7*H7,IF(G7="Dr",(N7-O7)*H7,(O7-N7)*H7))</f>
        <v/>
      </c>
      <c r="S7" s="16">
        <f>COA_Master!K6</f>
        <v/>
      </c>
      <c r="T7" s="16">
        <f>COA_Master!L6</f>
        <v/>
      </c>
      <c r="U7" s="16">
        <f>COA_Master!N6</f>
        <v/>
      </c>
    </row>
    <row r="8" ht="18" customHeight="1">
      <c r="A8" s="16">
        <f>COA_Master!A7</f>
        <v/>
      </c>
      <c r="B8" s="16">
        <f>COA_Master!B7</f>
        <v/>
      </c>
      <c r="C8" s="16">
        <f>COA_Master!D7</f>
        <v/>
      </c>
      <c r="D8" s="16">
        <f>COA_Master!E7</f>
        <v/>
      </c>
      <c r="E8" s="16">
        <f>COA_Master!F7</f>
        <v/>
      </c>
      <c r="F8" s="16">
        <f>COA_Master!G7</f>
        <v/>
      </c>
      <c r="G8" s="16">
        <f>COA_Master!H7</f>
        <v/>
      </c>
      <c r="H8" s="16">
        <f>COA_Master!I7</f>
        <v/>
      </c>
      <c r="I8" s="17">
        <f>COA_Master!M7</f>
        <v/>
      </c>
      <c r="J8" s="17">
        <f>SUMIFS(Journal_Input!$K$8:$K$184,Journal_Input!$A$8:$A$184,"Prior",Journal_Input!$G$8:$G$184,A8)</f>
        <v/>
      </c>
      <c r="K8" s="17">
        <f>SUMIFS(Journal_Input!$K$8:$K$184,Journal_Input!$A$8:$A$184,"Prior",Journal_Input!$I$8:$I$184,A8)</f>
        <v/>
      </c>
      <c r="L8" s="17">
        <f>IF(G8="Dr",I8+J8-K8,I8-J8+K8)</f>
        <v/>
      </c>
      <c r="M8" s="17">
        <f>L8</f>
        <v/>
      </c>
      <c r="N8" s="17">
        <f>SUMIFS(Journal_Input!$K$8:$K$184,Journal_Input!$A$8:$A$184,"Current",Journal_Input!$G$8:$G$184,A8)</f>
        <v/>
      </c>
      <c r="O8" s="17">
        <f>SUMIFS(Journal_Input!$K$8:$K$184,Journal_Input!$A$8:$A$184,"Current",Journal_Input!$I$8:$I$184,A8)</f>
        <v/>
      </c>
      <c r="P8" s="17">
        <f>IF(G8="Dr",M8+N8-O8,M8-N8+O8)</f>
        <v/>
      </c>
      <c r="Q8" s="17">
        <f>IF(C8="BS",L8*H8,IF(G8="Dr",(J8-K8)*H8,(K8-J8)*H8))</f>
        <v/>
      </c>
      <c r="R8" s="17">
        <f>IF(C8="BS",P8*H8,IF(G8="Dr",(N8-O8)*H8,(O8-N8)*H8))</f>
        <v/>
      </c>
      <c r="S8" s="16">
        <f>COA_Master!K7</f>
        <v/>
      </c>
      <c r="T8" s="16">
        <f>COA_Master!L7</f>
        <v/>
      </c>
      <c r="U8" s="16">
        <f>COA_Master!N7</f>
        <v/>
      </c>
    </row>
    <row r="9" ht="18" customHeight="1">
      <c r="A9" s="16">
        <f>COA_Master!A8</f>
        <v/>
      </c>
      <c r="B9" s="16">
        <f>COA_Master!B8</f>
        <v/>
      </c>
      <c r="C9" s="16">
        <f>COA_Master!D8</f>
        <v/>
      </c>
      <c r="D9" s="16">
        <f>COA_Master!E8</f>
        <v/>
      </c>
      <c r="E9" s="16">
        <f>COA_Master!F8</f>
        <v/>
      </c>
      <c r="F9" s="16">
        <f>COA_Master!G8</f>
        <v/>
      </c>
      <c r="G9" s="16">
        <f>COA_Master!H8</f>
        <v/>
      </c>
      <c r="H9" s="16">
        <f>COA_Master!I8</f>
        <v/>
      </c>
      <c r="I9" s="17">
        <f>COA_Master!M8</f>
        <v/>
      </c>
      <c r="J9" s="17">
        <f>SUMIFS(Journal_Input!$K$8:$K$184,Journal_Input!$A$8:$A$184,"Prior",Journal_Input!$G$8:$G$184,A9)</f>
        <v/>
      </c>
      <c r="K9" s="17">
        <f>SUMIFS(Journal_Input!$K$8:$K$184,Journal_Input!$A$8:$A$184,"Prior",Journal_Input!$I$8:$I$184,A9)</f>
        <v/>
      </c>
      <c r="L9" s="17">
        <f>IF(G9="Dr",I9+J9-K9,I9-J9+K9)</f>
        <v/>
      </c>
      <c r="M9" s="17">
        <f>L9</f>
        <v/>
      </c>
      <c r="N9" s="17">
        <f>SUMIFS(Journal_Input!$K$8:$K$184,Journal_Input!$A$8:$A$184,"Current",Journal_Input!$G$8:$G$184,A9)</f>
        <v/>
      </c>
      <c r="O9" s="17">
        <f>SUMIFS(Journal_Input!$K$8:$K$184,Journal_Input!$A$8:$A$184,"Current",Journal_Input!$I$8:$I$184,A9)</f>
        <v/>
      </c>
      <c r="P9" s="17">
        <f>IF(G9="Dr",M9+N9-O9,M9-N9+O9)</f>
        <v/>
      </c>
      <c r="Q9" s="17">
        <f>IF(C9="BS",L9*H9,IF(G9="Dr",(J9-K9)*H9,(K9-J9)*H9))</f>
        <v/>
      </c>
      <c r="R9" s="17">
        <f>IF(C9="BS",P9*H9,IF(G9="Dr",(N9-O9)*H9,(O9-N9)*H9))</f>
        <v/>
      </c>
      <c r="S9" s="16">
        <f>COA_Master!K8</f>
        <v/>
      </c>
      <c r="T9" s="16">
        <f>COA_Master!L8</f>
        <v/>
      </c>
      <c r="U9" s="16">
        <f>COA_Master!N8</f>
        <v/>
      </c>
    </row>
    <row r="10" ht="18" customHeight="1">
      <c r="A10" s="16">
        <f>COA_Master!A9</f>
        <v/>
      </c>
      <c r="B10" s="16">
        <f>COA_Master!B9</f>
        <v/>
      </c>
      <c r="C10" s="16">
        <f>COA_Master!D9</f>
        <v/>
      </c>
      <c r="D10" s="16">
        <f>COA_Master!E9</f>
        <v/>
      </c>
      <c r="E10" s="16">
        <f>COA_Master!F9</f>
        <v/>
      </c>
      <c r="F10" s="16">
        <f>COA_Master!G9</f>
        <v/>
      </c>
      <c r="G10" s="16">
        <f>COA_Master!H9</f>
        <v/>
      </c>
      <c r="H10" s="16">
        <f>COA_Master!I9</f>
        <v/>
      </c>
      <c r="I10" s="17">
        <f>COA_Master!M9</f>
        <v/>
      </c>
      <c r="J10" s="17">
        <f>SUMIFS(Journal_Input!$K$8:$K$184,Journal_Input!$A$8:$A$184,"Prior",Journal_Input!$G$8:$G$184,A10)</f>
        <v/>
      </c>
      <c r="K10" s="17">
        <f>SUMIFS(Journal_Input!$K$8:$K$184,Journal_Input!$A$8:$A$184,"Prior",Journal_Input!$I$8:$I$184,A10)</f>
        <v/>
      </c>
      <c r="L10" s="17">
        <f>IF(G10="Dr",I10+J10-K10,I10-J10+K10)</f>
        <v/>
      </c>
      <c r="M10" s="17">
        <f>L10</f>
        <v/>
      </c>
      <c r="N10" s="17">
        <f>SUMIFS(Journal_Input!$K$8:$K$184,Journal_Input!$A$8:$A$184,"Current",Journal_Input!$G$8:$G$184,A10)</f>
        <v/>
      </c>
      <c r="O10" s="17">
        <f>SUMIFS(Journal_Input!$K$8:$K$184,Journal_Input!$A$8:$A$184,"Current",Journal_Input!$I$8:$I$184,A10)</f>
        <v/>
      </c>
      <c r="P10" s="17">
        <f>IF(G10="Dr",M10+N10-O10,M10-N10+O10)</f>
        <v/>
      </c>
      <c r="Q10" s="17">
        <f>IF(C10="BS",L10*H10,IF(G10="Dr",(J10-K10)*H10,(K10-J10)*H10))</f>
        <v/>
      </c>
      <c r="R10" s="17">
        <f>IF(C10="BS",P10*H10,IF(G10="Dr",(N10-O10)*H10,(O10-N10)*H10))</f>
        <v/>
      </c>
      <c r="S10" s="16">
        <f>COA_Master!K9</f>
        <v/>
      </c>
      <c r="T10" s="16">
        <f>COA_Master!L9</f>
        <v/>
      </c>
      <c r="U10" s="16">
        <f>COA_Master!N9</f>
        <v/>
      </c>
    </row>
    <row r="11" ht="18" customHeight="1">
      <c r="A11" s="16">
        <f>COA_Master!A10</f>
        <v/>
      </c>
      <c r="B11" s="16">
        <f>COA_Master!B10</f>
        <v/>
      </c>
      <c r="C11" s="16">
        <f>COA_Master!D10</f>
        <v/>
      </c>
      <c r="D11" s="16">
        <f>COA_Master!E10</f>
        <v/>
      </c>
      <c r="E11" s="16">
        <f>COA_Master!F10</f>
        <v/>
      </c>
      <c r="F11" s="16">
        <f>COA_Master!G10</f>
        <v/>
      </c>
      <c r="G11" s="16">
        <f>COA_Master!H10</f>
        <v/>
      </c>
      <c r="H11" s="16">
        <f>COA_Master!I10</f>
        <v/>
      </c>
      <c r="I11" s="17">
        <f>COA_Master!M10</f>
        <v/>
      </c>
      <c r="J11" s="17">
        <f>SUMIFS(Journal_Input!$K$8:$K$184,Journal_Input!$A$8:$A$184,"Prior",Journal_Input!$G$8:$G$184,A11)</f>
        <v/>
      </c>
      <c r="K11" s="17">
        <f>SUMIFS(Journal_Input!$K$8:$K$184,Journal_Input!$A$8:$A$184,"Prior",Journal_Input!$I$8:$I$184,A11)</f>
        <v/>
      </c>
      <c r="L11" s="17">
        <f>IF(G11="Dr",I11+J11-K11,I11-J11+K11)</f>
        <v/>
      </c>
      <c r="M11" s="17">
        <f>L11</f>
        <v/>
      </c>
      <c r="N11" s="17">
        <f>SUMIFS(Journal_Input!$K$8:$K$184,Journal_Input!$A$8:$A$184,"Current",Journal_Input!$G$8:$G$184,A11)</f>
        <v/>
      </c>
      <c r="O11" s="17">
        <f>SUMIFS(Journal_Input!$K$8:$K$184,Journal_Input!$A$8:$A$184,"Current",Journal_Input!$I$8:$I$184,A11)</f>
        <v/>
      </c>
      <c r="P11" s="17">
        <f>IF(G11="Dr",M11+N11-O11,M11-N11+O11)</f>
        <v/>
      </c>
      <c r="Q11" s="17">
        <f>IF(C11="BS",L11*H11,IF(G11="Dr",(J11-K11)*H11,(K11-J11)*H11))</f>
        <v/>
      </c>
      <c r="R11" s="17">
        <f>IF(C11="BS",P11*H11,IF(G11="Dr",(N11-O11)*H11,(O11-N11)*H11))</f>
        <v/>
      </c>
      <c r="S11" s="16">
        <f>COA_Master!K10</f>
        <v/>
      </c>
      <c r="T11" s="16">
        <f>COA_Master!L10</f>
        <v/>
      </c>
      <c r="U11" s="16">
        <f>COA_Master!N10</f>
        <v/>
      </c>
    </row>
    <row r="12" ht="18" customHeight="1">
      <c r="A12" s="16">
        <f>COA_Master!A11</f>
        <v/>
      </c>
      <c r="B12" s="16">
        <f>COA_Master!B11</f>
        <v/>
      </c>
      <c r="C12" s="16">
        <f>COA_Master!D11</f>
        <v/>
      </c>
      <c r="D12" s="16">
        <f>COA_Master!E11</f>
        <v/>
      </c>
      <c r="E12" s="16">
        <f>COA_Master!F11</f>
        <v/>
      </c>
      <c r="F12" s="16">
        <f>COA_Master!G11</f>
        <v/>
      </c>
      <c r="G12" s="16">
        <f>COA_Master!H11</f>
        <v/>
      </c>
      <c r="H12" s="16">
        <f>COA_Master!I11</f>
        <v/>
      </c>
      <c r="I12" s="17">
        <f>COA_Master!M11</f>
        <v/>
      </c>
      <c r="J12" s="17">
        <f>SUMIFS(Journal_Input!$K$8:$K$184,Journal_Input!$A$8:$A$184,"Prior",Journal_Input!$G$8:$G$184,A12)</f>
        <v/>
      </c>
      <c r="K12" s="17">
        <f>SUMIFS(Journal_Input!$K$8:$K$184,Journal_Input!$A$8:$A$184,"Prior",Journal_Input!$I$8:$I$184,A12)</f>
        <v/>
      </c>
      <c r="L12" s="17">
        <f>IF(G12="Dr",I12+J12-K12,I12-J12+K12)</f>
        <v/>
      </c>
      <c r="M12" s="17">
        <f>L12</f>
        <v/>
      </c>
      <c r="N12" s="17">
        <f>SUMIFS(Journal_Input!$K$8:$K$184,Journal_Input!$A$8:$A$184,"Current",Journal_Input!$G$8:$G$184,A12)</f>
        <v/>
      </c>
      <c r="O12" s="17">
        <f>SUMIFS(Journal_Input!$K$8:$K$184,Journal_Input!$A$8:$A$184,"Current",Journal_Input!$I$8:$I$184,A12)</f>
        <v/>
      </c>
      <c r="P12" s="17">
        <f>IF(G12="Dr",M12+N12-O12,M12-N12+O12)</f>
        <v/>
      </c>
      <c r="Q12" s="17">
        <f>IF(C12="BS",L12*H12,IF(G12="Dr",(J12-K12)*H12,(K12-J12)*H12))</f>
        <v/>
      </c>
      <c r="R12" s="17">
        <f>IF(C12="BS",P12*H12,IF(G12="Dr",(N12-O12)*H12,(O12-N12)*H12))</f>
        <v/>
      </c>
      <c r="S12" s="16">
        <f>COA_Master!K11</f>
        <v/>
      </c>
      <c r="T12" s="16">
        <f>COA_Master!L11</f>
        <v/>
      </c>
      <c r="U12" s="16">
        <f>COA_Master!N11</f>
        <v/>
      </c>
    </row>
    <row r="13" ht="18" customHeight="1">
      <c r="A13" s="16">
        <f>COA_Master!A12</f>
        <v/>
      </c>
      <c r="B13" s="16">
        <f>COA_Master!B12</f>
        <v/>
      </c>
      <c r="C13" s="16">
        <f>COA_Master!D12</f>
        <v/>
      </c>
      <c r="D13" s="16">
        <f>COA_Master!E12</f>
        <v/>
      </c>
      <c r="E13" s="16">
        <f>COA_Master!F12</f>
        <v/>
      </c>
      <c r="F13" s="16">
        <f>COA_Master!G12</f>
        <v/>
      </c>
      <c r="G13" s="16">
        <f>COA_Master!H12</f>
        <v/>
      </c>
      <c r="H13" s="16">
        <f>COA_Master!I12</f>
        <v/>
      </c>
      <c r="I13" s="17">
        <f>COA_Master!M12</f>
        <v/>
      </c>
      <c r="J13" s="17">
        <f>SUMIFS(Journal_Input!$K$8:$K$184,Journal_Input!$A$8:$A$184,"Prior",Journal_Input!$G$8:$G$184,A13)</f>
        <v/>
      </c>
      <c r="K13" s="17">
        <f>SUMIFS(Journal_Input!$K$8:$K$184,Journal_Input!$A$8:$A$184,"Prior",Journal_Input!$I$8:$I$184,A13)</f>
        <v/>
      </c>
      <c r="L13" s="17">
        <f>IF(G13="Dr",I13+J13-K13,I13-J13+K13)</f>
        <v/>
      </c>
      <c r="M13" s="17">
        <f>L13</f>
        <v/>
      </c>
      <c r="N13" s="17">
        <f>SUMIFS(Journal_Input!$K$8:$K$184,Journal_Input!$A$8:$A$184,"Current",Journal_Input!$G$8:$G$184,A13)</f>
        <v/>
      </c>
      <c r="O13" s="17">
        <f>SUMIFS(Journal_Input!$K$8:$K$184,Journal_Input!$A$8:$A$184,"Current",Journal_Input!$I$8:$I$184,A13)</f>
        <v/>
      </c>
      <c r="P13" s="17">
        <f>IF(G13="Dr",M13+N13-O13,M13-N13+O13)</f>
        <v/>
      </c>
      <c r="Q13" s="17">
        <f>IF(C13="BS",L13*H13,IF(G13="Dr",(J13-K13)*H13,(K13-J13)*H13))</f>
        <v/>
      </c>
      <c r="R13" s="17">
        <f>IF(C13="BS",P13*H13,IF(G13="Dr",(N13-O13)*H13,(O13-N13)*H13))</f>
        <v/>
      </c>
      <c r="S13" s="16">
        <f>COA_Master!K12</f>
        <v/>
      </c>
      <c r="T13" s="16">
        <f>COA_Master!L12</f>
        <v/>
      </c>
      <c r="U13" s="16">
        <f>COA_Master!N12</f>
        <v/>
      </c>
    </row>
    <row r="14" ht="18" customHeight="1">
      <c r="A14" s="16">
        <f>COA_Master!A13</f>
        <v/>
      </c>
      <c r="B14" s="16">
        <f>COA_Master!B13</f>
        <v/>
      </c>
      <c r="C14" s="16">
        <f>COA_Master!D13</f>
        <v/>
      </c>
      <c r="D14" s="16">
        <f>COA_Master!E13</f>
        <v/>
      </c>
      <c r="E14" s="16">
        <f>COA_Master!F13</f>
        <v/>
      </c>
      <c r="F14" s="16">
        <f>COA_Master!G13</f>
        <v/>
      </c>
      <c r="G14" s="16">
        <f>COA_Master!H13</f>
        <v/>
      </c>
      <c r="H14" s="16">
        <f>COA_Master!I13</f>
        <v/>
      </c>
      <c r="I14" s="17">
        <f>COA_Master!M13</f>
        <v/>
      </c>
      <c r="J14" s="17">
        <f>SUMIFS(Journal_Input!$K$8:$K$184,Journal_Input!$A$8:$A$184,"Prior",Journal_Input!$G$8:$G$184,A14)</f>
        <v/>
      </c>
      <c r="K14" s="17">
        <f>SUMIFS(Journal_Input!$K$8:$K$184,Journal_Input!$A$8:$A$184,"Prior",Journal_Input!$I$8:$I$184,A14)</f>
        <v/>
      </c>
      <c r="L14" s="17">
        <f>IF(G14="Dr",I14+J14-K14,I14-J14+K14)</f>
        <v/>
      </c>
      <c r="M14" s="17">
        <f>L14</f>
        <v/>
      </c>
      <c r="N14" s="17">
        <f>SUMIFS(Journal_Input!$K$8:$K$184,Journal_Input!$A$8:$A$184,"Current",Journal_Input!$G$8:$G$184,A14)</f>
        <v/>
      </c>
      <c r="O14" s="17">
        <f>SUMIFS(Journal_Input!$K$8:$K$184,Journal_Input!$A$8:$A$184,"Current",Journal_Input!$I$8:$I$184,A14)</f>
        <v/>
      </c>
      <c r="P14" s="17">
        <f>IF(G14="Dr",M14+N14-O14,M14-N14+O14)</f>
        <v/>
      </c>
      <c r="Q14" s="17">
        <f>IF(C14="BS",L14*H14,IF(G14="Dr",(J14-K14)*H14,(K14-J14)*H14))</f>
        <v/>
      </c>
      <c r="R14" s="17">
        <f>IF(C14="BS",P14*H14,IF(G14="Dr",(N14-O14)*H14,(O14-N14)*H14))</f>
        <v/>
      </c>
      <c r="S14" s="16">
        <f>COA_Master!K13</f>
        <v/>
      </c>
      <c r="T14" s="16">
        <f>COA_Master!L13</f>
        <v/>
      </c>
      <c r="U14" s="16">
        <f>COA_Master!N13</f>
        <v/>
      </c>
    </row>
    <row r="15" ht="18" customHeight="1">
      <c r="A15" s="16">
        <f>COA_Master!A14</f>
        <v/>
      </c>
      <c r="B15" s="16">
        <f>COA_Master!B14</f>
        <v/>
      </c>
      <c r="C15" s="16">
        <f>COA_Master!D14</f>
        <v/>
      </c>
      <c r="D15" s="16">
        <f>COA_Master!E14</f>
        <v/>
      </c>
      <c r="E15" s="16">
        <f>COA_Master!F14</f>
        <v/>
      </c>
      <c r="F15" s="16">
        <f>COA_Master!G14</f>
        <v/>
      </c>
      <c r="G15" s="16">
        <f>COA_Master!H14</f>
        <v/>
      </c>
      <c r="H15" s="16">
        <f>COA_Master!I14</f>
        <v/>
      </c>
      <c r="I15" s="17">
        <f>COA_Master!M14</f>
        <v/>
      </c>
      <c r="J15" s="17">
        <f>SUMIFS(Journal_Input!$K$8:$K$184,Journal_Input!$A$8:$A$184,"Prior",Journal_Input!$G$8:$G$184,A15)</f>
        <v/>
      </c>
      <c r="K15" s="17">
        <f>SUMIFS(Journal_Input!$K$8:$K$184,Journal_Input!$A$8:$A$184,"Prior",Journal_Input!$I$8:$I$184,A15)</f>
        <v/>
      </c>
      <c r="L15" s="17">
        <f>IF(G15="Dr",I15+J15-K15,I15-J15+K15)</f>
        <v/>
      </c>
      <c r="M15" s="17">
        <f>L15</f>
        <v/>
      </c>
      <c r="N15" s="17">
        <f>SUMIFS(Journal_Input!$K$8:$K$184,Journal_Input!$A$8:$A$184,"Current",Journal_Input!$G$8:$G$184,A15)</f>
        <v/>
      </c>
      <c r="O15" s="17">
        <f>SUMIFS(Journal_Input!$K$8:$K$184,Journal_Input!$A$8:$A$184,"Current",Journal_Input!$I$8:$I$184,A15)</f>
        <v/>
      </c>
      <c r="P15" s="17">
        <f>IF(G15="Dr",M15+N15-O15,M15-N15+O15)</f>
        <v/>
      </c>
      <c r="Q15" s="17">
        <f>IF(C15="BS",L15*H15,IF(G15="Dr",(J15-K15)*H15,(K15-J15)*H15))</f>
        <v/>
      </c>
      <c r="R15" s="17">
        <f>IF(C15="BS",P15*H15,IF(G15="Dr",(N15-O15)*H15,(O15-N15)*H15))</f>
        <v/>
      </c>
      <c r="S15" s="16">
        <f>COA_Master!K14</f>
        <v/>
      </c>
      <c r="T15" s="16">
        <f>COA_Master!L14</f>
        <v/>
      </c>
      <c r="U15" s="16">
        <f>COA_Master!N14</f>
        <v/>
      </c>
    </row>
    <row r="16" ht="18" customHeight="1">
      <c r="A16" s="16">
        <f>COA_Master!A15</f>
        <v/>
      </c>
      <c r="B16" s="16">
        <f>COA_Master!B15</f>
        <v/>
      </c>
      <c r="C16" s="16">
        <f>COA_Master!D15</f>
        <v/>
      </c>
      <c r="D16" s="16">
        <f>COA_Master!E15</f>
        <v/>
      </c>
      <c r="E16" s="16">
        <f>COA_Master!F15</f>
        <v/>
      </c>
      <c r="F16" s="16">
        <f>COA_Master!G15</f>
        <v/>
      </c>
      <c r="G16" s="16">
        <f>COA_Master!H15</f>
        <v/>
      </c>
      <c r="H16" s="16">
        <f>COA_Master!I15</f>
        <v/>
      </c>
      <c r="I16" s="17">
        <f>COA_Master!M15</f>
        <v/>
      </c>
      <c r="J16" s="17">
        <f>SUMIFS(Journal_Input!$K$8:$K$184,Journal_Input!$A$8:$A$184,"Prior",Journal_Input!$G$8:$G$184,A16)</f>
        <v/>
      </c>
      <c r="K16" s="17">
        <f>SUMIFS(Journal_Input!$K$8:$K$184,Journal_Input!$A$8:$A$184,"Prior",Journal_Input!$I$8:$I$184,A16)</f>
        <v/>
      </c>
      <c r="L16" s="17">
        <f>IF(G16="Dr",I16+J16-K16,I16-J16+K16)</f>
        <v/>
      </c>
      <c r="M16" s="17">
        <f>L16</f>
        <v/>
      </c>
      <c r="N16" s="17">
        <f>SUMIFS(Journal_Input!$K$8:$K$184,Journal_Input!$A$8:$A$184,"Current",Journal_Input!$G$8:$G$184,A16)</f>
        <v/>
      </c>
      <c r="O16" s="17">
        <f>SUMIFS(Journal_Input!$K$8:$K$184,Journal_Input!$A$8:$A$184,"Current",Journal_Input!$I$8:$I$184,A16)</f>
        <v/>
      </c>
      <c r="P16" s="17">
        <f>IF(G16="Dr",M16+N16-O16,M16-N16+O16)</f>
        <v/>
      </c>
      <c r="Q16" s="17">
        <f>IF(C16="BS",L16*H16,IF(G16="Dr",(J16-K16)*H16,(K16-J16)*H16))</f>
        <v/>
      </c>
      <c r="R16" s="17">
        <f>IF(C16="BS",P16*H16,IF(G16="Dr",(N16-O16)*H16,(O16-N16)*H16))</f>
        <v/>
      </c>
      <c r="S16" s="16">
        <f>COA_Master!K15</f>
        <v/>
      </c>
      <c r="T16" s="16">
        <f>COA_Master!L15</f>
        <v/>
      </c>
      <c r="U16" s="16">
        <f>COA_Master!N15</f>
        <v/>
      </c>
    </row>
    <row r="17" ht="18" customHeight="1">
      <c r="A17" s="16">
        <f>COA_Master!A16</f>
        <v/>
      </c>
      <c r="B17" s="16">
        <f>COA_Master!B16</f>
        <v/>
      </c>
      <c r="C17" s="16">
        <f>COA_Master!D16</f>
        <v/>
      </c>
      <c r="D17" s="16">
        <f>COA_Master!E16</f>
        <v/>
      </c>
      <c r="E17" s="16">
        <f>COA_Master!F16</f>
        <v/>
      </c>
      <c r="F17" s="16">
        <f>COA_Master!G16</f>
        <v/>
      </c>
      <c r="G17" s="16">
        <f>COA_Master!H16</f>
        <v/>
      </c>
      <c r="H17" s="16">
        <f>COA_Master!I16</f>
        <v/>
      </c>
      <c r="I17" s="17">
        <f>COA_Master!M16</f>
        <v/>
      </c>
      <c r="J17" s="17">
        <f>SUMIFS(Journal_Input!$K$8:$K$184,Journal_Input!$A$8:$A$184,"Prior",Journal_Input!$G$8:$G$184,A17)</f>
        <v/>
      </c>
      <c r="K17" s="17">
        <f>SUMIFS(Journal_Input!$K$8:$K$184,Journal_Input!$A$8:$A$184,"Prior",Journal_Input!$I$8:$I$184,A17)</f>
        <v/>
      </c>
      <c r="L17" s="17">
        <f>IF(G17="Dr",I17+J17-K17,I17-J17+K17)</f>
        <v/>
      </c>
      <c r="M17" s="17">
        <f>L17</f>
        <v/>
      </c>
      <c r="N17" s="17">
        <f>SUMIFS(Journal_Input!$K$8:$K$184,Journal_Input!$A$8:$A$184,"Current",Journal_Input!$G$8:$G$184,A17)</f>
        <v/>
      </c>
      <c r="O17" s="17">
        <f>SUMIFS(Journal_Input!$K$8:$K$184,Journal_Input!$A$8:$A$184,"Current",Journal_Input!$I$8:$I$184,A17)</f>
        <v/>
      </c>
      <c r="P17" s="17">
        <f>IF(G17="Dr",M17+N17-O17,M17-N17+O17)</f>
        <v/>
      </c>
      <c r="Q17" s="17">
        <f>IF(C17="BS",L17*H17,IF(G17="Dr",(J17-K17)*H17,(K17-J17)*H17))</f>
        <v/>
      </c>
      <c r="R17" s="17">
        <f>IF(C17="BS",P17*H17,IF(G17="Dr",(N17-O17)*H17,(O17-N17)*H17))</f>
        <v/>
      </c>
      <c r="S17" s="16">
        <f>COA_Master!K16</f>
        <v/>
      </c>
      <c r="T17" s="16">
        <f>COA_Master!L16</f>
        <v/>
      </c>
      <c r="U17" s="16">
        <f>COA_Master!N16</f>
        <v/>
      </c>
    </row>
    <row r="18" ht="18" customHeight="1">
      <c r="A18" s="16">
        <f>COA_Master!A17</f>
        <v/>
      </c>
      <c r="B18" s="16">
        <f>COA_Master!B17</f>
        <v/>
      </c>
      <c r="C18" s="16">
        <f>COA_Master!D17</f>
        <v/>
      </c>
      <c r="D18" s="16">
        <f>COA_Master!E17</f>
        <v/>
      </c>
      <c r="E18" s="16">
        <f>COA_Master!F17</f>
        <v/>
      </c>
      <c r="F18" s="16">
        <f>COA_Master!G17</f>
        <v/>
      </c>
      <c r="G18" s="16">
        <f>COA_Master!H17</f>
        <v/>
      </c>
      <c r="H18" s="16">
        <f>COA_Master!I17</f>
        <v/>
      </c>
      <c r="I18" s="17">
        <f>COA_Master!M17</f>
        <v/>
      </c>
      <c r="J18" s="17">
        <f>SUMIFS(Journal_Input!$K$8:$K$184,Journal_Input!$A$8:$A$184,"Prior",Journal_Input!$G$8:$G$184,A18)</f>
        <v/>
      </c>
      <c r="K18" s="17">
        <f>SUMIFS(Journal_Input!$K$8:$K$184,Journal_Input!$A$8:$A$184,"Prior",Journal_Input!$I$8:$I$184,A18)</f>
        <v/>
      </c>
      <c r="L18" s="17">
        <f>IF(G18="Dr",I18+J18-K18,I18-J18+K18)</f>
        <v/>
      </c>
      <c r="M18" s="17">
        <f>L18</f>
        <v/>
      </c>
      <c r="N18" s="17">
        <f>SUMIFS(Journal_Input!$K$8:$K$184,Journal_Input!$A$8:$A$184,"Current",Journal_Input!$G$8:$G$184,A18)</f>
        <v/>
      </c>
      <c r="O18" s="17">
        <f>SUMIFS(Journal_Input!$K$8:$K$184,Journal_Input!$A$8:$A$184,"Current",Journal_Input!$I$8:$I$184,A18)</f>
        <v/>
      </c>
      <c r="P18" s="17">
        <f>IF(G18="Dr",M18+N18-O18,M18-N18+O18)</f>
        <v/>
      </c>
      <c r="Q18" s="17">
        <f>IF(C18="BS",L18*H18,IF(G18="Dr",(J18-K18)*H18,(K18-J18)*H18))</f>
        <v/>
      </c>
      <c r="R18" s="17">
        <f>IF(C18="BS",P18*H18,IF(G18="Dr",(N18-O18)*H18,(O18-N18)*H18))</f>
        <v/>
      </c>
      <c r="S18" s="16">
        <f>COA_Master!K17</f>
        <v/>
      </c>
      <c r="T18" s="16">
        <f>COA_Master!L17</f>
        <v/>
      </c>
      <c r="U18" s="16">
        <f>COA_Master!N17</f>
        <v/>
      </c>
    </row>
    <row r="19" ht="18" customHeight="1">
      <c r="A19" s="16">
        <f>COA_Master!A18</f>
        <v/>
      </c>
      <c r="B19" s="16">
        <f>COA_Master!B18</f>
        <v/>
      </c>
      <c r="C19" s="16">
        <f>COA_Master!D18</f>
        <v/>
      </c>
      <c r="D19" s="16">
        <f>COA_Master!E18</f>
        <v/>
      </c>
      <c r="E19" s="16">
        <f>COA_Master!F18</f>
        <v/>
      </c>
      <c r="F19" s="16">
        <f>COA_Master!G18</f>
        <v/>
      </c>
      <c r="G19" s="16">
        <f>COA_Master!H18</f>
        <v/>
      </c>
      <c r="H19" s="16">
        <f>COA_Master!I18</f>
        <v/>
      </c>
      <c r="I19" s="17">
        <f>COA_Master!M18</f>
        <v/>
      </c>
      <c r="J19" s="17">
        <f>SUMIFS(Journal_Input!$K$8:$K$184,Journal_Input!$A$8:$A$184,"Prior",Journal_Input!$G$8:$G$184,A19)</f>
        <v/>
      </c>
      <c r="K19" s="17">
        <f>SUMIFS(Journal_Input!$K$8:$K$184,Journal_Input!$A$8:$A$184,"Prior",Journal_Input!$I$8:$I$184,A19)</f>
        <v/>
      </c>
      <c r="L19" s="17">
        <f>IF(G19="Dr",I19+J19-K19,I19-J19+K19)</f>
        <v/>
      </c>
      <c r="M19" s="17">
        <f>L19</f>
        <v/>
      </c>
      <c r="N19" s="17">
        <f>SUMIFS(Journal_Input!$K$8:$K$184,Journal_Input!$A$8:$A$184,"Current",Journal_Input!$G$8:$G$184,A19)</f>
        <v/>
      </c>
      <c r="O19" s="17">
        <f>SUMIFS(Journal_Input!$K$8:$K$184,Journal_Input!$A$8:$A$184,"Current",Journal_Input!$I$8:$I$184,A19)</f>
        <v/>
      </c>
      <c r="P19" s="17">
        <f>IF(G19="Dr",M19+N19-O19,M19-N19+O19)</f>
        <v/>
      </c>
      <c r="Q19" s="17">
        <f>IF(C19="BS",L19*H19,IF(G19="Dr",(J19-K19)*H19,(K19-J19)*H19))</f>
        <v/>
      </c>
      <c r="R19" s="17">
        <f>IF(C19="BS",P19*H19,IF(G19="Dr",(N19-O19)*H19,(O19-N19)*H19))</f>
        <v/>
      </c>
      <c r="S19" s="16">
        <f>COA_Master!K18</f>
        <v/>
      </c>
      <c r="T19" s="16">
        <f>COA_Master!L18</f>
        <v/>
      </c>
      <c r="U19" s="16">
        <f>COA_Master!N18</f>
        <v/>
      </c>
    </row>
    <row r="20" ht="18" customHeight="1">
      <c r="A20" s="16">
        <f>COA_Master!A19</f>
        <v/>
      </c>
      <c r="B20" s="16">
        <f>COA_Master!B19</f>
        <v/>
      </c>
      <c r="C20" s="16">
        <f>COA_Master!D19</f>
        <v/>
      </c>
      <c r="D20" s="16">
        <f>COA_Master!E19</f>
        <v/>
      </c>
      <c r="E20" s="16">
        <f>COA_Master!F19</f>
        <v/>
      </c>
      <c r="F20" s="16">
        <f>COA_Master!G19</f>
        <v/>
      </c>
      <c r="G20" s="16">
        <f>COA_Master!H19</f>
        <v/>
      </c>
      <c r="H20" s="16">
        <f>COA_Master!I19</f>
        <v/>
      </c>
      <c r="I20" s="17">
        <f>COA_Master!M19</f>
        <v/>
      </c>
      <c r="J20" s="17">
        <f>SUMIFS(Journal_Input!$K$8:$K$184,Journal_Input!$A$8:$A$184,"Prior",Journal_Input!$G$8:$G$184,A20)</f>
        <v/>
      </c>
      <c r="K20" s="17">
        <f>SUMIFS(Journal_Input!$K$8:$K$184,Journal_Input!$A$8:$A$184,"Prior",Journal_Input!$I$8:$I$184,A20)</f>
        <v/>
      </c>
      <c r="L20" s="17">
        <f>IF(G20="Dr",I20+J20-K20,I20-J20+K20)</f>
        <v/>
      </c>
      <c r="M20" s="17">
        <f>L20</f>
        <v/>
      </c>
      <c r="N20" s="17">
        <f>SUMIFS(Journal_Input!$K$8:$K$184,Journal_Input!$A$8:$A$184,"Current",Journal_Input!$G$8:$G$184,A20)</f>
        <v/>
      </c>
      <c r="O20" s="17">
        <f>SUMIFS(Journal_Input!$K$8:$K$184,Journal_Input!$A$8:$A$184,"Current",Journal_Input!$I$8:$I$184,A20)</f>
        <v/>
      </c>
      <c r="P20" s="17">
        <f>IF(G20="Dr",M20+N20-O20,M20-N20+O20)</f>
        <v/>
      </c>
      <c r="Q20" s="17">
        <f>IF(C20="BS",L20*H20,IF(G20="Dr",(J20-K20)*H20,(K20-J20)*H20))</f>
        <v/>
      </c>
      <c r="R20" s="17">
        <f>IF(C20="BS",P20*H20,IF(G20="Dr",(N20-O20)*H20,(O20-N20)*H20))</f>
        <v/>
      </c>
      <c r="S20" s="16">
        <f>COA_Master!K19</f>
        <v/>
      </c>
      <c r="T20" s="16">
        <f>COA_Master!L19</f>
        <v/>
      </c>
      <c r="U20" s="16">
        <f>COA_Master!N19</f>
        <v/>
      </c>
    </row>
    <row r="21" ht="18" customHeight="1">
      <c r="A21" s="16">
        <f>COA_Master!A20</f>
        <v/>
      </c>
      <c r="B21" s="16">
        <f>COA_Master!B20</f>
        <v/>
      </c>
      <c r="C21" s="16">
        <f>COA_Master!D20</f>
        <v/>
      </c>
      <c r="D21" s="16">
        <f>COA_Master!E20</f>
        <v/>
      </c>
      <c r="E21" s="16">
        <f>COA_Master!F20</f>
        <v/>
      </c>
      <c r="F21" s="16">
        <f>COA_Master!G20</f>
        <v/>
      </c>
      <c r="G21" s="16">
        <f>COA_Master!H20</f>
        <v/>
      </c>
      <c r="H21" s="16">
        <f>COA_Master!I20</f>
        <v/>
      </c>
      <c r="I21" s="17">
        <f>COA_Master!M20</f>
        <v/>
      </c>
      <c r="J21" s="17">
        <f>SUMIFS(Journal_Input!$K$8:$K$184,Journal_Input!$A$8:$A$184,"Prior",Journal_Input!$G$8:$G$184,A21)</f>
        <v/>
      </c>
      <c r="K21" s="17">
        <f>SUMIFS(Journal_Input!$K$8:$K$184,Journal_Input!$A$8:$A$184,"Prior",Journal_Input!$I$8:$I$184,A21)</f>
        <v/>
      </c>
      <c r="L21" s="17">
        <f>IF(G21="Dr",I21+J21-K21,I21-J21+K21)</f>
        <v/>
      </c>
      <c r="M21" s="17">
        <f>L21</f>
        <v/>
      </c>
      <c r="N21" s="17">
        <f>SUMIFS(Journal_Input!$K$8:$K$184,Journal_Input!$A$8:$A$184,"Current",Journal_Input!$G$8:$G$184,A21)</f>
        <v/>
      </c>
      <c r="O21" s="17">
        <f>SUMIFS(Journal_Input!$K$8:$K$184,Journal_Input!$A$8:$A$184,"Current",Journal_Input!$I$8:$I$184,A21)</f>
        <v/>
      </c>
      <c r="P21" s="17">
        <f>IF(G21="Dr",M21+N21-O21,M21-N21+O21)</f>
        <v/>
      </c>
      <c r="Q21" s="17">
        <f>IF(C21="BS",L21*H21,IF(G21="Dr",(J21-K21)*H21,(K21-J21)*H21))</f>
        <v/>
      </c>
      <c r="R21" s="17">
        <f>IF(C21="BS",P21*H21,IF(G21="Dr",(N21-O21)*H21,(O21-N21)*H21))</f>
        <v/>
      </c>
      <c r="S21" s="16">
        <f>COA_Master!K20</f>
        <v/>
      </c>
      <c r="T21" s="16">
        <f>COA_Master!L20</f>
        <v/>
      </c>
      <c r="U21" s="16">
        <f>COA_Master!N20</f>
        <v/>
      </c>
    </row>
    <row r="22" ht="18" customHeight="1">
      <c r="A22" s="16">
        <f>COA_Master!A21</f>
        <v/>
      </c>
      <c r="B22" s="16">
        <f>COA_Master!B21</f>
        <v/>
      </c>
      <c r="C22" s="16">
        <f>COA_Master!D21</f>
        <v/>
      </c>
      <c r="D22" s="16">
        <f>COA_Master!E21</f>
        <v/>
      </c>
      <c r="E22" s="16">
        <f>COA_Master!F21</f>
        <v/>
      </c>
      <c r="F22" s="16">
        <f>COA_Master!G21</f>
        <v/>
      </c>
      <c r="G22" s="16">
        <f>COA_Master!H21</f>
        <v/>
      </c>
      <c r="H22" s="16">
        <f>COA_Master!I21</f>
        <v/>
      </c>
      <c r="I22" s="17">
        <f>COA_Master!M21</f>
        <v/>
      </c>
      <c r="J22" s="17">
        <f>SUMIFS(Journal_Input!$K$8:$K$184,Journal_Input!$A$8:$A$184,"Prior",Journal_Input!$G$8:$G$184,A22)</f>
        <v/>
      </c>
      <c r="K22" s="17">
        <f>SUMIFS(Journal_Input!$K$8:$K$184,Journal_Input!$A$8:$A$184,"Prior",Journal_Input!$I$8:$I$184,A22)</f>
        <v/>
      </c>
      <c r="L22" s="17">
        <f>IF(G22="Dr",I22+J22-K22,I22-J22+K22)</f>
        <v/>
      </c>
      <c r="M22" s="17">
        <f>L22</f>
        <v/>
      </c>
      <c r="N22" s="17">
        <f>SUMIFS(Journal_Input!$K$8:$K$184,Journal_Input!$A$8:$A$184,"Current",Journal_Input!$G$8:$G$184,A22)</f>
        <v/>
      </c>
      <c r="O22" s="17">
        <f>SUMIFS(Journal_Input!$K$8:$K$184,Journal_Input!$A$8:$A$184,"Current",Journal_Input!$I$8:$I$184,A22)</f>
        <v/>
      </c>
      <c r="P22" s="17">
        <f>IF(G22="Dr",M22+N22-O22,M22-N22+O22)</f>
        <v/>
      </c>
      <c r="Q22" s="17">
        <f>IF(C22="BS",L22*H22,IF(G22="Dr",(J22-K22)*H22,(K22-J22)*H22))</f>
        <v/>
      </c>
      <c r="R22" s="17">
        <f>IF(C22="BS",P22*H22,IF(G22="Dr",(N22-O22)*H22,(O22-N22)*H22))</f>
        <v/>
      </c>
      <c r="S22" s="16">
        <f>COA_Master!K21</f>
        <v/>
      </c>
      <c r="T22" s="16">
        <f>COA_Master!L21</f>
        <v/>
      </c>
      <c r="U22" s="16">
        <f>COA_Master!N21</f>
        <v/>
      </c>
    </row>
    <row r="23" ht="18" customHeight="1">
      <c r="A23" s="16">
        <f>COA_Master!A22</f>
        <v/>
      </c>
      <c r="B23" s="16">
        <f>COA_Master!B22</f>
        <v/>
      </c>
      <c r="C23" s="16">
        <f>COA_Master!D22</f>
        <v/>
      </c>
      <c r="D23" s="16">
        <f>COA_Master!E22</f>
        <v/>
      </c>
      <c r="E23" s="16">
        <f>COA_Master!F22</f>
        <v/>
      </c>
      <c r="F23" s="16">
        <f>COA_Master!G22</f>
        <v/>
      </c>
      <c r="G23" s="16">
        <f>COA_Master!H22</f>
        <v/>
      </c>
      <c r="H23" s="16">
        <f>COA_Master!I22</f>
        <v/>
      </c>
      <c r="I23" s="17">
        <f>COA_Master!M22</f>
        <v/>
      </c>
      <c r="J23" s="17">
        <f>SUMIFS(Journal_Input!$K$8:$K$184,Journal_Input!$A$8:$A$184,"Prior",Journal_Input!$G$8:$G$184,A23)</f>
        <v/>
      </c>
      <c r="K23" s="17">
        <f>SUMIFS(Journal_Input!$K$8:$K$184,Journal_Input!$A$8:$A$184,"Prior",Journal_Input!$I$8:$I$184,A23)</f>
        <v/>
      </c>
      <c r="L23" s="17">
        <f>IF(G23="Dr",I23+J23-K23,I23-J23+K23)</f>
        <v/>
      </c>
      <c r="M23" s="17">
        <f>L23</f>
        <v/>
      </c>
      <c r="N23" s="17">
        <f>SUMIFS(Journal_Input!$K$8:$K$184,Journal_Input!$A$8:$A$184,"Current",Journal_Input!$G$8:$G$184,A23)</f>
        <v/>
      </c>
      <c r="O23" s="17">
        <f>SUMIFS(Journal_Input!$K$8:$K$184,Journal_Input!$A$8:$A$184,"Current",Journal_Input!$I$8:$I$184,A23)</f>
        <v/>
      </c>
      <c r="P23" s="17">
        <f>IF(G23="Dr",M23+N23-O23,M23-N23+O23)</f>
        <v/>
      </c>
      <c r="Q23" s="17">
        <f>IF(C23="BS",L23*H23,IF(G23="Dr",(J23-K23)*H23,(K23-J23)*H23))</f>
        <v/>
      </c>
      <c r="R23" s="17">
        <f>IF(C23="BS",P23*H23,IF(G23="Dr",(N23-O23)*H23,(O23-N23)*H23))</f>
        <v/>
      </c>
      <c r="S23" s="16">
        <f>COA_Master!K22</f>
        <v/>
      </c>
      <c r="T23" s="16">
        <f>COA_Master!L22</f>
        <v/>
      </c>
      <c r="U23" s="16">
        <f>COA_Master!N22</f>
        <v/>
      </c>
    </row>
    <row r="24" ht="18" customHeight="1">
      <c r="A24" s="16">
        <f>COA_Master!A23</f>
        <v/>
      </c>
      <c r="B24" s="16">
        <f>COA_Master!B23</f>
        <v/>
      </c>
      <c r="C24" s="16">
        <f>COA_Master!D23</f>
        <v/>
      </c>
      <c r="D24" s="16">
        <f>COA_Master!E23</f>
        <v/>
      </c>
      <c r="E24" s="16">
        <f>COA_Master!F23</f>
        <v/>
      </c>
      <c r="F24" s="16">
        <f>COA_Master!G23</f>
        <v/>
      </c>
      <c r="G24" s="16">
        <f>COA_Master!H23</f>
        <v/>
      </c>
      <c r="H24" s="16">
        <f>COA_Master!I23</f>
        <v/>
      </c>
      <c r="I24" s="17">
        <f>COA_Master!M23</f>
        <v/>
      </c>
      <c r="J24" s="17">
        <f>SUMIFS(Journal_Input!$K$8:$K$184,Journal_Input!$A$8:$A$184,"Prior",Journal_Input!$G$8:$G$184,A24)</f>
        <v/>
      </c>
      <c r="K24" s="17">
        <f>SUMIFS(Journal_Input!$K$8:$K$184,Journal_Input!$A$8:$A$184,"Prior",Journal_Input!$I$8:$I$184,A24)</f>
        <v/>
      </c>
      <c r="L24" s="17">
        <f>IF(G24="Dr",I24+J24-K24,I24-J24+K24)</f>
        <v/>
      </c>
      <c r="M24" s="17">
        <f>L24</f>
        <v/>
      </c>
      <c r="N24" s="17">
        <f>SUMIFS(Journal_Input!$K$8:$K$184,Journal_Input!$A$8:$A$184,"Current",Journal_Input!$G$8:$G$184,A24)</f>
        <v/>
      </c>
      <c r="O24" s="17">
        <f>SUMIFS(Journal_Input!$K$8:$K$184,Journal_Input!$A$8:$A$184,"Current",Journal_Input!$I$8:$I$184,A24)</f>
        <v/>
      </c>
      <c r="P24" s="17">
        <f>IF(G24="Dr",M24+N24-O24,M24-N24+O24)</f>
        <v/>
      </c>
      <c r="Q24" s="17">
        <f>IF(C24="BS",L24*H24,IF(G24="Dr",(J24-K24)*H24,(K24-J24)*H24))</f>
        <v/>
      </c>
      <c r="R24" s="17">
        <f>IF(C24="BS",P24*H24,IF(G24="Dr",(N24-O24)*H24,(O24-N24)*H24))</f>
        <v/>
      </c>
      <c r="S24" s="16">
        <f>COA_Master!K23</f>
        <v/>
      </c>
      <c r="T24" s="16">
        <f>COA_Master!L23</f>
        <v/>
      </c>
      <c r="U24" s="16">
        <f>COA_Master!N23</f>
        <v/>
      </c>
    </row>
    <row r="25" ht="18" customHeight="1">
      <c r="A25" s="16">
        <f>COA_Master!A24</f>
        <v/>
      </c>
      <c r="B25" s="16">
        <f>COA_Master!B24</f>
        <v/>
      </c>
      <c r="C25" s="16">
        <f>COA_Master!D24</f>
        <v/>
      </c>
      <c r="D25" s="16">
        <f>COA_Master!E24</f>
        <v/>
      </c>
      <c r="E25" s="16">
        <f>COA_Master!F24</f>
        <v/>
      </c>
      <c r="F25" s="16">
        <f>COA_Master!G24</f>
        <v/>
      </c>
      <c r="G25" s="16">
        <f>COA_Master!H24</f>
        <v/>
      </c>
      <c r="H25" s="16">
        <f>COA_Master!I24</f>
        <v/>
      </c>
      <c r="I25" s="17">
        <f>COA_Master!M24</f>
        <v/>
      </c>
      <c r="J25" s="17">
        <f>SUMIFS(Journal_Input!$K$8:$K$184,Journal_Input!$A$8:$A$184,"Prior",Journal_Input!$G$8:$G$184,A25)</f>
        <v/>
      </c>
      <c r="K25" s="17">
        <f>SUMIFS(Journal_Input!$K$8:$K$184,Journal_Input!$A$8:$A$184,"Prior",Journal_Input!$I$8:$I$184,A25)</f>
        <v/>
      </c>
      <c r="L25" s="17">
        <f>IF(G25="Dr",I25+J25-K25,I25-J25+K25)</f>
        <v/>
      </c>
      <c r="M25" s="17">
        <f>L25</f>
        <v/>
      </c>
      <c r="N25" s="17">
        <f>SUMIFS(Journal_Input!$K$8:$K$184,Journal_Input!$A$8:$A$184,"Current",Journal_Input!$G$8:$G$184,A25)</f>
        <v/>
      </c>
      <c r="O25" s="17">
        <f>SUMIFS(Journal_Input!$K$8:$K$184,Journal_Input!$A$8:$A$184,"Current",Journal_Input!$I$8:$I$184,A25)</f>
        <v/>
      </c>
      <c r="P25" s="17">
        <f>IF(G25="Dr",M25+N25-O25,M25-N25+O25)</f>
        <v/>
      </c>
      <c r="Q25" s="17">
        <f>IF(C25="BS",L25*H25,IF(G25="Dr",(J25-K25)*H25,(K25-J25)*H25))</f>
        <v/>
      </c>
      <c r="R25" s="17">
        <f>IF(C25="BS",P25*H25,IF(G25="Dr",(N25-O25)*H25,(O25-N25)*H25))</f>
        <v/>
      </c>
      <c r="S25" s="16">
        <f>COA_Master!K24</f>
        <v/>
      </c>
      <c r="T25" s="16">
        <f>COA_Master!L24</f>
        <v/>
      </c>
      <c r="U25" s="16">
        <f>COA_Master!N24</f>
        <v/>
      </c>
    </row>
    <row r="26" ht="18" customHeight="1">
      <c r="A26" s="16">
        <f>COA_Master!A25</f>
        <v/>
      </c>
      <c r="B26" s="16">
        <f>COA_Master!B25</f>
        <v/>
      </c>
      <c r="C26" s="16">
        <f>COA_Master!D25</f>
        <v/>
      </c>
      <c r="D26" s="16">
        <f>COA_Master!E25</f>
        <v/>
      </c>
      <c r="E26" s="16">
        <f>COA_Master!F25</f>
        <v/>
      </c>
      <c r="F26" s="16">
        <f>COA_Master!G25</f>
        <v/>
      </c>
      <c r="G26" s="16">
        <f>COA_Master!H25</f>
        <v/>
      </c>
      <c r="H26" s="16">
        <f>COA_Master!I25</f>
        <v/>
      </c>
      <c r="I26" s="17">
        <f>COA_Master!M25</f>
        <v/>
      </c>
      <c r="J26" s="17">
        <f>SUMIFS(Journal_Input!$K$8:$K$184,Journal_Input!$A$8:$A$184,"Prior",Journal_Input!$G$8:$G$184,A26)</f>
        <v/>
      </c>
      <c r="K26" s="17">
        <f>SUMIFS(Journal_Input!$K$8:$K$184,Journal_Input!$A$8:$A$184,"Prior",Journal_Input!$I$8:$I$184,A26)</f>
        <v/>
      </c>
      <c r="L26" s="17">
        <f>IF(G26="Dr",I26+J26-K26,I26-J26+K26)</f>
        <v/>
      </c>
      <c r="M26" s="17">
        <f>L26</f>
        <v/>
      </c>
      <c r="N26" s="17">
        <f>SUMIFS(Journal_Input!$K$8:$K$184,Journal_Input!$A$8:$A$184,"Current",Journal_Input!$G$8:$G$184,A26)</f>
        <v/>
      </c>
      <c r="O26" s="17">
        <f>SUMIFS(Journal_Input!$K$8:$K$184,Journal_Input!$A$8:$A$184,"Current",Journal_Input!$I$8:$I$184,A26)</f>
        <v/>
      </c>
      <c r="P26" s="17">
        <f>IF(G26="Dr",M26+N26-O26,M26-N26+O26)</f>
        <v/>
      </c>
      <c r="Q26" s="17">
        <f>IF(C26="BS",L26*H26,IF(G26="Dr",(J26-K26)*H26,(K26-J26)*H26))</f>
        <v/>
      </c>
      <c r="R26" s="17">
        <f>IF(C26="BS",P26*H26,IF(G26="Dr",(N26-O26)*H26,(O26-N26)*H26))</f>
        <v/>
      </c>
      <c r="S26" s="16">
        <f>COA_Master!K25</f>
        <v/>
      </c>
      <c r="T26" s="16">
        <f>COA_Master!L25</f>
        <v/>
      </c>
      <c r="U26" s="16">
        <f>COA_Master!N25</f>
        <v/>
      </c>
    </row>
    <row r="27" ht="18" customHeight="1">
      <c r="A27" s="16">
        <f>COA_Master!A26</f>
        <v/>
      </c>
      <c r="B27" s="16">
        <f>COA_Master!B26</f>
        <v/>
      </c>
      <c r="C27" s="16">
        <f>COA_Master!D26</f>
        <v/>
      </c>
      <c r="D27" s="16">
        <f>COA_Master!E26</f>
        <v/>
      </c>
      <c r="E27" s="16">
        <f>COA_Master!F26</f>
        <v/>
      </c>
      <c r="F27" s="16">
        <f>COA_Master!G26</f>
        <v/>
      </c>
      <c r="G27" s="16">
        <f>COA_Master!H26</f>
        <v/>
      </c>
      <c r="H27" s="16">
        <f>COA_Master!I26</f>
        <v/>
      </c>
      <c r="I27" s="17">
        <f>COA_Master!M26</f>
        <v/>
      </c>
      <c r="J27" s="17">
        <f>SUMIFS(Journal_Input!$K$8:$K$184,Journal_Input!$A$8:$A$184,"Prior",Journal_Input!$G$8:$G$184,A27)</f>
        <v/>
      </c>
      <c r="K27" s="17">
        <f>SUMIFS(Journal_Input!$K$8:$K$184,Journal_Input!$A$8:$A$184,"Prior",Journal_Input!$I$8:$I$184,A27)</f>
        <v/>
      </c>
      <c r="L27" s="17">
        <f>IF(G27="Dr",I27+J27-K27,I27-J27+K27)</f>
        <v/>
      </c>
      <c r="M27" s="17">
        <f>L27</f>
        <v/>
      </c>
      <c r="N27" s="17">
        <f>SUMIFS(Journal_Input!$K$8:$K$184,Journal_Input!$A$8:$A$184,"Current",Journal_Input!$G$8:$G$184,A27)</f>
        <v/>
      </c>
      <c r="O27" s="17">
        <f>SUMIFS(Journal_Input!$K$8:$K$184,Journal_Input!$A$8:$A$184,"Current",Journal_Input!$I$8:$I$184,A27)</f>
        <v/>
      </c>
      <c r="P27" s="17">
        <f>IF(G27="Dr",M27+N27-O27,M27-N27+O27)</f>
        <v/>
      </c>
      <c r="Q27" s="17">
        <f>IF(C27="BS",L27*H27,IF(G27="Dr",(J27-K27)*H27,(K27-J27)*H27))</f>
        <v/>
      </c>
      <c r="R27" s="17">
        <f>IF(C27="BS",P27*H27,IF(G27="Dr",(N27-O27)*H27,(O27-N27)*H27))</f>
        <v/>
      </c>
      <c r="S27" s="16">
        <f>COA_Master!K26</f>
        <v/>
      </c>
      <c r="T27" s="16">
        <f>COA_Master!L26</f>
        <v/>
      </c>
      <c r="U27" s="16">
        <f>COA_Master!N26</f>
        <v/>
      </c>
    </row>
    <row r="28" ht="18" customHeight="1">
      <c r="A28" s="16">
        <f>COA_Master!A27</f>
        <v/>
      </c>
      <c r="B28" s="16">
        <f>COA_Master!B27</f>
        <v/>
      </c>
      <c r="C28" s="16">
        <f>COA_Master!D27</f>
        <v/>
      </c>
      <c r="D28" s="16">
        <f>COA_Master!E27</f>
        <v/>
      </c>
      <c r="E28" s="16">
        <f>COA_Master!F27</f>
        <v/>
      </c>
      <c r="F28" s="16">
        <f>COA_Master!G27</f>
        <v/>
      </c>
      <c r="G28" s="16">
        <f>COA_Master!H27</f>
        <v/>
      </c>
      <c r="H28" s="16">
        <f>COA_Master!I27</f>
        <v/>
      </c>
      <c r="I28" s="17">
        <f>COA_Master!M27</f>
        <v/>
      </c>
      <c r="J28" s="17">
        <f>SUMIFS(Journal_Input!$K$8:$K$184,Journal_Input!$A$8:$A$184,"Prior",Journal_Input!$G$8:$G$184,A28)</f>
        <v/>
      </c>
      <c r="K28" s="17">
        <f>SUMIFS(Journal_Input!$K$8:$K$184,Journal_Input!$A$8:$A$184,"Prior",Journal_Input!$I$8:$I$184,A28)</f>
        <v/>
      </c>
      <c r="L28" s="17">
        <f>IF(G28="Dr",I28+J28-K28,I28-J28+K28)</f>
        <v/>
      </c>
      <c r="M28" s="17">
        <f>L28</f>
        <v/>
      </c>
      <c r="N28" s="17">
        <f>SUMIFS(Journal_Input!$K$8:$K$184,Journal_Input!$A$8:$A$184,"Current",Journal_Input!$G$8:$G$184,A28)</f>
        <v/>
      </c>
      <c r="O28" s="17">
        <f>SUMIFS(Journal_Input!$K$8:$K$184,Journal_Input!$A$8:$A$184,"Current",Journal_Input!$I$8:$I$184,A28)</f>
        <v/>
      </c>
      <c r="P28" s="17">
        <f>IF(G28="Dr",M28+N28-O28,M28-N28+O28)</f>
        <v/>
      </c>
      <c r="Q28" s="17">
        <f>IF(C28="BS",L28*H28,IF(G28="Dr",(J28-K28)*H28,(K28-J28)*H28))</f>
        <v/>
      </c>
      <c r="R28" s="17">
        <f>IF(C28="BS",P28*H28,IF(G28="Dr",(N28-O28)*H28,(O28-N28)*H28))</f>
        <v/>
      </c>
      <c r="S28" s="16">
        <f>COA_Master!K27</f>
        <v/>
      </c>
      <c r="T28" s="16">
        <f>COA_Master!L27</f>
        <v/>
      </c>
      <c r="U28" s="16">
        <f>COA_Master!N27</f>
        <v/>
      </c>
    </row>
    <row r="29" ht="18" customHeight="1">
      <c r="A29" s="16">
        <f>COA_Master!A28</f>
        <v/>
      </c>
      <c r="B29" s="16">
        <f>COA_Master!B28</f>
        <v/>
      </c>
      <c r="C29" s="16">
        <f>COA_Master!D28</f>
        <v/>
      </c>
      <c r="D29" s="16">
        <f>COA_Master!E28</f>
        <v/>
      </c>
      <c r="E29" s="16">
        <f>COA_Master!F28</f>
        <v/>
      </c>
      <c r="F29" s="16">
        <f>COA_Master!G28</f>
        <v/>
      </c>
      <c r="G29" s="16">
        <f>COA_Master!H28</f>
        <v/>
      </c>
      <c r="H29" s="16">
        <f>COA_Master!I28</f>
        <v/>
      </c>
      <c r="I29" s="17">
        <f>COA_Master!M28</f>
        <v/>
      </c>
      <c r="J29" s="17">
        <f>SUMIFS(Journal_Input!$K$8:$K$184,Journal_Input!$A$8:$A$184,"Prior",Journal_Input!$G$8:$G$184,A29)</f>
        <v/>
      </c>
      <c r="K29" s="17">
        <f>SUMIFS(Journal_Input!$K$8:$K$184,Journal_Input!$A$8:$A$184,"Prior",Journal_Input!$I$8:$I$184,A29)</f>
        <v/>
      </c>
      <c r="L29" s="17">
        <f>IF(G29="Dr",I29+J29-K29,I29-J29+K29)</f>
        <v/>
      </c>
      <c r="M29" s="17">
        <f>L29</f>
        <v/>
      </c>
      <c r="N29" s="17">
        <f>SUMIFS(Journal_Input!$K$8:$K$184,Journal_Input!$A$8:$A$184,"Current",Journal_Input!$G$8:$G$184,A29)</f>
        <v/>
      </c>
      <c r="O29" s="17">
        <f>SUMIFS(Journal_Input!$K$8:$K$184,Journal_Input!$A$8:$A$184,"Current",Journal_Input!$I$8:$I$184,A29)</f>
        <v/>
      </c>
      <c r="P29" s="17">
        <f>IF(G29="Dr",M29+N29-O29,M29-N29+O29)</f>
        <v/>
      </c>
      <c r="Q29" s="17">
        <f>IF(C29="BS",L29*H29,IF(G29="Dr",(J29-K29)*H29,(K29-J29)*H29))</f>
        <v/>
      </c>
      <c r="R29" s="17">
        <f>IF(C29="BS",P29*H29,IF(G29="Dr",(N29-O29)*H29,(O29-N29)*H29))</f>
        <v/>
      </c>
      <c r="S29" s="16">
        <f>COA_Master!K28</f>
        <v/>
      </c>
      <c r="T29" s="16">
        <f>COA_Master!L28</f>
        <v/>
      </c>
      <c r="U29" s="16">
        <f>COA_Master!N28</f>
        <v/>
      </c>
    </row>
    <row r="30" ht="18" customHeight="1">
      <c r="A30" s="16">
        <f>COA_Master!A29</f>
        <v/>
      </c>
      <c r="B30" s="16">
        <f>COA_Master!B29</f>
        <v/>
      </c>
      <c r="C30" s="16">
        <f>COA_Master!D29</f>
        <v/>
      </c>
      <c r="D30" s="16">
        <f>COA_Master!E29</f>
        <v/>
      </c>
      <c r="E30" s="16">
        <f>COA_Master!F29</f>
        <v/>
      </c>
      <c r="F30" s="16">
        <f>COA_Master!G29</f>
        <v/>
      </c>
      <c r="G30" s="16">
        <f>COA_Master!H29</f>
        <v/>
      </c>
      <c r="H30" s="16">
        <f>COA_Master!I29</f>
        <v/>
      </c>
      <c r="I30" s="17">
        <f>COA_Master!M29</f>
        <v/>
      </c>
      <c r="J30" s="17">
        <f>SUMIFS(Journal_Input!$K$8:$K$184,Journal_Input!$A$8:$A$184,"Prior",Journal_Input!$G$8:$G$184,A30)</f>
        <v/>
      </c>
      <c r="K30" s="17">
        <f>SUMIFS(Journal_Input!$K$8:$K$184,Journal_Input!$A$8:$A$184,"Prior",Journal_Input!$I$8:$I$184,A30)</f>
        <v/>
      </c>
      <c r="L30" s="17">
        <f>IF(G30="Dr",I30+J30-K30,I30-J30+K30)</f>
        <v/>
      </c>
      <c r="M30" s="17">
        <f>L30</f>
        <v/>
      </c>
      <c r="N30" s="17">
        <f>SUMIFS(Journal_Input!$K$8:$K$184,Journal_Input!$A$8:$A$184,"Current",Journal_Input!$G$8:$G$184,A30)</f>
        <v/>
      </c>
      <c r="O30" s="17">
        <f>SUMIFS(Journal_Input!$K$8:$K$184,Journal_Input!$A$8:$A$184,"Current",Journal_Input!$I$8:$I$184,A30)</f>
        <v/>
      </c>
      <c r="P30" s="17">
        <f>IF(G30="Dr",M30+N30-O30,M30-N30+O30)</f>
        <v/>
      </c>
      <c r="Q30" s="17">
        <f>IF(C30="BS",L30*H30,IF(G30="Dr",(J30-K30)*H30,(K30-J30)*H30))</f>
        <v/>
      </c>
      <c r="R30" s="17">
        <f>IF(C30="BS",P30*H30,IF(G30="Dr",(N30-O30)*H30,(O30-N30)*H30))</f>
        <v/>
      </c>
      <c r="S30" s="16">
        <f>COA_Master!K29</f>
        <v/>
      </c>
      <c r="T30" s="16">
        <f>COA_Master!L29</f>
        <v/>
      </c>
      <c r="U30" s="16">
        <f>COA_Master!N29</f>
        <v/>
      </c>
    </row>
    <row r="31" ht="18" customHeight="1">
      <c r="A31" s="16">
        <f>COA_Master!A30</f>
        <v/>
      </c>
      <c r="B31" s="16">
        <f>COA_Master!B30</f>
        <v/>
      </c>
      <c r="C31" s="16">
        <f>COA_Master!D30</f>
        <v/>
      </c>
      <c r="D31" s="16">
        <f>COA_Master!E30</f>
        <v/>
      </c>
      <c r="E31" s="16">
        <f>COA_Master!F30</f>
        <v/>
      </c>
      <c r="F31" s="16">
        <f>COA_Master!G30</f>
        <v/>
      </c>
      <c r="G31" s="16">
        <f>COA_Master!H30</f>
        <v/>
      </c>
      <c r="H31" s="16">
        <f>COA_Master!I30</f>
        <v/>
      </c>
      <c r="I31" s="17">
        <f>COA_Master!M30</f>
        <v/>
      </c>
      <c r="J31" s="17">
        <f>SUMIFS(Journal_Input!$K$8:$K$184,Journal_Input!$A$8:$A$184,"Prior",Journal_Input!$G$8:$G$184,A31)</f>
        <v/>
      </c>
      <c r="K31" s="17">
        <f>SUMIFS(Journal_Input!$K$8:$K$184,Journal_Input!$A$8:$A$184,"Prior",Journal_Input!$I$8:$I$184,A31)</f>
        <v/>
      </c>
      <c r="L31" s="17">
        <f>IF(G31="Dr",I31+J31-K31,I31-J31+K31)</f>
        <v/>
      </c>
      <c r="M31" s="17">
        <f>L31</f>
        <v/>
      </c>
      <c r="N31" s="17">
        <f>SUMIFS(Journal_Input!$K$8:$K$184,Journal_Input!$A$8:$A$184,"Current",Journal_Input!$G$8:$G$184,A31)</f>
        <v/>
      </c>
      <c r="O31" s="17">
        <f>SUMIFS(Journal_Input!$K$8:$K$184,Journal_Input!$A$8:$A$184,"Current",Journal_Input!$I$8:$I$184,A31)</f>
        <v/>
      </c>
      <c r="P31" s="17">
        <f>IF(G31="Dr",M31+N31-O31,M31-N31+O31)</f>
        <v/>
      </c>
      <c r="Q31" s="17">
        <f>IF(C31="BS",L31*H31,IF(G31="Dr",(J31-K31)*H31,(K31-J31)*H31))</f>
        <v/>
      </c>
      <c r="R31" s="17">
        <f>IF(C31="BS",P31*H31,IF(G31="Dr",(N31-O31)*H31,(O31-N31)*H31))</f>
        <v/>
      </c>
      <c r="S31" s="16">
        <f>COA_Master!K30</f>
        <v/>
      </c>
      <c r="T31" s="16">
        <f>COA_Master!L30</f>
        <v/>
      </c>
      <c r="U31" s="16">
        <f>COA_Master!N30</f>
        <v/>
      </c>
    </row>
    <row r="32" ht="18" customHeight="1">
      <c r="A32" s="16">
        <f>COA_Master!A31</f>
        <v/>
      </c>
      <c r="B32" s="16">
        <f>COA_Master!B31</f>
        <v/>
      </c>
      <c r="C32" s="16">
        <f>COA_Master!D31</f>
        <v/>
      </c>
      <c r="D32" s="16">
        <f>COA_Master!E31</f>
        <v/>
      </c>
      <c r="E32" s="16">
        <f>COA_Master!F31</f>
        <v/>
      </c>
      <c r="F32" s="16">
        <f>COA_Master!G31</f>
        <v/>
      </c>
      <c r="G32" s="16">
        <f>COA_Master!H31</f>
        <v/>
      </c>
      <c r="H32" s="16">
        <f>COA_Master!I31</f>
        <v/>
      </c>
      <c r="I32" s="17">
        <f>COA_Master!M31</f>
        <v/>
      </c>
      <c r="J32" s="17">
        <f>SUMIFS(Journal_Input!$K$8:$K$184,Journal_Input!$A$8:$A$184,"Prior",Journal_Input!$G$8:$G$184,A32)</f>
        <v/>
      </c>
      <c r="K32" s="17">
        <f>SUMIFS(Journal_Input!$K$8:$K$184,Journal_Input!$A$8:$A$184,"Prior",Journal_Input!$I$8:$I$184,A32)</f>
        <v/>
      </c>
      <c r="L32" s="17">
        <f>IF(G32="Dr",I32+J32-K32,I32-J32+K32)</f>
        <v/>
      </c>
      <c r="M32" s="17">
        <f>L32</f>
        <v/>
      </c>
      <c r="N32" s="17">
        <f>SUMIFS(Journal_Input!$K$8:$K$184,Journal_Input!$A$8:$A$184,"Current",Journal_Input!$G$8:$G$184,A32)</f>
        <v/>
      </c>
      <c r="O32" s="17">
        <f>SUMIFS(Journal_Input!$K$8:$K$184,Journal_Input!$A$8:$A$184,"Current",Journal_Input!$I$8:$I$184,A32)</f>
        <v/>
      </c>
      <c r="P32" s="17">
        <f>IF(G32="Dr",M32+N32-O32,M32-N32+O32)</f>
        <v/>
      </c>
      <c r="Q32" s="17">
        <f>IF(C32="BS",L32*H32,IF(G32="Dr",(J32-K32)*H32,(K32-J32)*H32))</f>
        <v/>
      </c>
      <c r="R32" s="17">
        <f>IF(C32="BS",P32*H32,IF(G32="Dr",(N32-O32)*H32,(O32-N32)*H32))</f>
        <v/>
      </c>
      <c r="S32" s="16">
        <f>COA_Master!K31</f>
        <v/>
      </c>
      <c r="T32" s="16">
        <f>COA_Master!L31</f>
        <v/>
      </c>
      <c r="U32" s="16">
        <f>COA_Master!N31</f>
        <v/>
      </c>
    </row>
    <row r="33" ht="18" customHeight="1">
      <c r="A33" s="16">
        <f>COA_Master!A32</f>
        <v/>
      </c>
      <c r="B33" s="16">
        <f>COA_Master!B32</f>
        <v/>
      </c>
      <c r="C33" s="16">
        <f>COA_Master!D32</f>
        <v/>
      </c>
      <c r="D33" s="16">
        <f>COA_Master!E32</f>
        <v/>
      </c>
      <c r="E33" s="16">
        <f>COA_Master!F32</f>
        <v/>
      </c>
      <c r="F33" s="16">
        <f>COA_Master!G32</f>
        <v/>
      </c>
      <c r="G33" s="16">
        <f>COA_Master!H32</f>
        <v/>
      </c>
      <c r="H33" s="16">
        <f>COA_Master!I32</f>
        <v/>
      </c>
      <c r="I33" s="17">
        <f>COA_Master!M32</f>
        <v/>
      </c>
      <c r="J33" s="17">
        <f>SUMIFS(Journal_Input!$K$8:$K$184,Journal_Input!$A$8:$A$184,"Prior",Journal_Input!$G$8:$G$184,A33)</f>
        <v/>
      </c>
      <c r="K33" s="17">
        <f>SUMIFS(Journal_Input!$K$8:$K$184,Journal_Input!$A$8:$A$184,"Prior",Journal_Input!$I$8:$I$184,A33)</f>
        <v/>
      </c>
      <c r="L33" s="17">
        <f>IF(G33="Dr",I33+J33-K33,I33-J33+K33)</f>
        <v/>
      </c>
      <c r="M33" s="17">
        <f>L33</f>
        <v/>
      </c>
      <c r="N33" s="17">
        <f>SUMIFS(Journal_Input!$K$8:$K$184,Journal_Input!$A$8:$A$184,"Current",Journal_Input!$G$8:$G$184,A33)</f>
        <v/>
      </c>
      <c r="O33" s="17">
        <f>SUMIFS(Journal_Input!$K$8:$K$184,Journal_Input!$A$8:$A$184,"Current",Journal_Input!$I$8:$I$184,A33)</f>
        <v/>
      </c>
      <c r="P33" s="17">
        <f>IF(G33="Dr",M33+N33-O33,M33-N33+O33)</f>
        <v/>
      </c>
      <c r="Q33" s="17">
        <f>IF(C33="BS",L33*H33,IF(G33="Dr",(J33-K33)*H33,(K33-J33)*H33))</f>
        <v/>
      </c>
      <c r="R33" s="17">
        <f>IF(C33="BS",P33*H33,IF(G33="Dr",(N33-O33)*H33,(O33-N33)*H33))</f>
        <v/>
      </c>
      <c r="S33" s="16">
        <f>COA_Master!K32</f>
        <v/>
      </c>
      <c r="T33" s="16">
        <f>COA_Master!L32</f>
        <v/>
      </c>
      <c r="U33" s="16">
        <f>COA_Master!N32</f>
        <v/>
      </c>
    </row>
    <row r="34" ht="18" customHeight="1">
      <c r="A34" s="16">
        <f>COA_Master!A33</f>
        <v/>
      </c>
      <c r="B34" s="16">
        <f>COA_Master!B33</f>
        <v/>
      </c>
      <c r="C34" s="16">
        <f>COA_Master!D33</f>
        <v/>
      </c>
      <c r="D34" s="16">
        <f>COA_Master!E33</f>
        <v/>
      </c>
      <c r="E34" s="16">
        <f>COA_Master!F33</f>
        <v/>
      </c>
      <c r="F34" s="16">
        <f>COA_Master!G33</f>
        <v/>
      </c>
      <c r="G34" s="16">
        <f>COA_Master!H33</f>
        <v/>
      </c>
      <c r="H34" s="16">
        <f>COA_Master!I33</f>
        <v/>
      </c>
      <c r="I34" s="17">
        <f>COA_Master!M33</f>
        <v/>
      </c>
      <c r="J34" s="17">
        <f>SUMIFS(Journal_Input!$K$8:$K$184,Journal_Input!$A$8:$A$184,"Prior",Journal_Input!$G$8:$G$184,A34)</f>
        <v/>
      </c>
      <c r="K34" s="17">
        <f>SUMIFS(Journal_Input!$K$8:$K$184,Journal_Input!$A$8:$A$184,"Prior",Journal_Input!$I$8:$I$184,A34)</f>
        <v/>
      </c>
      <c r="L34" s="17">
        <f>IF(G34="Dr",I34+J34-K34,I34-J34+K34)</f>
        <v/>
      </c>
      <c r="M34" s="17">
        <f>L34</f>
        <v/>
      </c>
      <c r="N34" s="17">
        <f>SUMIFS(Journal_Input!$K$8:$K$184,Journal_Input!$A$8:$A$184,"Current",Journal_Input!$G$8:$G$184,A34)</f>
        <v/>
      </c>
      <c r="O34" s="17">
        <f>SUMIFS(Journal_Input!$K$8:$K$184,Journal_Input!$A$8:$A$184,"Current",Journal_Input!$I$8:$I$184,A34)</f>
        <v/>
      </c>
      <c r="P34" s="17">
        <f>IF(G34="Dr",M34+N34-O34,M34-N34+O34)</f>
        <v/>
      </c>
      <c r="Q34" s="17">
        <f>IF(C34="BS",L34*H34,IF(G34="Dr",(J34-K34)*H34,(K34-J34)*H34))</f>
        <v/>
      </c>
      <c r="R34" s="17">
        <f>IF(C34="BS",P34*H34,IF(G34="Dr",(N34-O34)*H34,(O34-N34)*H34))</f>
        <v/>
      </c>
      <c r="S34" s="16">
        <f>COA_Master!K33</f>
        <v/>
      </c>
      <c r="T34" s="16">
        <f>COA_Master!L33</f>
        <v/>
      </c>
      <c r="U34" s="16">
        <f>COA_Master!N33</f>
        <v/>
      </c>
    </row>
    <row r="35" ht="18" customHeight="1">
      <c r="A35" s="16">
        <f>COA_Master!A34</f>
        <v/>
      </c>
      <c r="B35" s="16">
        <f>COA_Master!B34</f>
        <v/>
      </c>
      <c r="C35" s="16">
        <f>COA_Master!D34</f>
        <v/>
      </c>
      <c r="D35" s="16">
        <f>COA_Master!E34</f>
        <v/>
      </c>
      <c r="E35" s="16">
        <f>COA_Master!F34</f>
        <v/>
      </c>
      <c r="F35" s="16">
        <f>COA_Master!G34</f>
        <v/>
      </c>
      <c r="G35" s="16">
        <f>COA_Master!H34</f>
        <v/>
      </c>
      <c r="H35" s="16">
        <f>COA_Master!I34</f>
        <v/>
      </c>
      <c r="I35" s="17">
        <f>COA_Master!M34</f>
        <v/>
      </c>
      <c r="J35" s="17">
        <f>SUMIFS(Journal_Input!$K$8:$K$184,Journal_Input!$A$8:$A$184,"Prior",Journal_Input!$G$8:$G$184,A35)</f>
        <v/>
      </c>
      <c r="K35" s="17">
        <f>SUMIFS(Journal_Input!$K$8:$K$184,Journal_Input!$A$8:$A$184,"Prior",Journal_Input!$I$8:$I$184,A35)</f>
        <v/>
      </c>
      <c r="L35" s="17">
        <f>IF(G35="Dr",I35+J35-K35,I35-J35+K35)</f>
        <v/>
      </c>
      <c r="M35" s="17">
        <f>L35</f>
        <v/>
      </c>
      <c r="N35" s="17">
        <f>SUMIFS(Journal_Input!$K$8:$K$184,Journal_Input!$A$8:$A$184,"Current",Journal_Input!$G$8:$G$184,A35)</f>
        <v/>
      </c>
      <c r="O35" s="17">
        <f>SUMIFS(Journal_Input!$K$8:$K$184,Journal_Input!$A$8:$A$184,"Current",Journal_Input!$I$8:$I$184,A35)</f>
        <v/>
      </c>
      <c r="P35" s="17">
        <f>IF(G35="Dr",M35+N35-O35,M35-N35+O35)</f>
        <v/>
      </c>
      <c r="Q35" s="17">
        <f>IF(C35="BS",L35*H35,IF(G35="Dr",(J35-K35)*H35,(K35-J35)*H35))</f>
        <v/>
      </c>
      <c r="R35" s="17">
        <f>IF(C35="BS",P35*H35,IF(G35="Dr",(N35-O35)*H35,(O35-N35)*H35))</f>
        <v/>
      </c>
      <c r="S35" s="16">
        <f>COA_Master!K34</f>
        <v/>
      </c>
      <c r="T35" s="16">
        <f>COA_Master!L34</f>
        <v/>
      </c>
      <c r="U35" s="16">
        <f>COA_Master!N34</f>
        <v/>
      </c>
    </row>
    <row r="36" ht="18" customHeight="1">
      <c r="A36" s="16">
        <f>COA_Master!A35</f>
        <v/>
      </c>
      <c r="B36" s="16">
        <f>COA_Master!B35</f>
        <v/>
      </c>
      <c r="C36" s="16">
        <f>COA_Master!D35</f>
        <v/>
      </c>
      <c r="D36" s="16">
        <f>COA_Master!E35</f>
        <v/>
      </c>
      <c r="E36" s="16">
        <f>COA_Master!F35</f>
        <v/>
      </c>
      <c r="F36" s="16">
        <f>COA_Master!G35</f>
        <v/>
      </c>
      <c r="G36" s="16">
        <f>COA_Master!H35</f>
        <v/>
      </c>
      <c r="H36" s="16">
        <f>COA_Master!I35</f>
        <v/>
      </c>
      <c r="I36" s="17">
        <f>COA_Master!M35</f>
        <v/>
      </c>
      <c r="J36" s="17">
        <f>SUMIFS(Journal_Input!$K$8:$K$184,Journal_Input!$A$8:$A$184,"Prior",Journal_Input!$G$8:$G$184,A36)</f>
        <v/>
      </c>
      <c r="K36" s="17">
        <f>SUMIFS(Journal_Input!$K$8:$K$184,Journal_Input!$A$8:$A$184,"Prior",Journal_Input!$I$8:$I$184,A36)</f>
        <v/>
      </c>
      <c r="L36" s="17">
        <f>IF(G36="Dr",I36+J36-K36,I36-J36+K36)</f>
        <v/>
      </c>
      <c r="M36" s="17">
        <f>L36</f>
        <v/>
      </c>
      <c r="N36" s="17">
        <f>SUMIFS(Journal_Input!$K$8:$K$184,Journal_Input!$A$8:$A$184,"Current",Journal_Input!$G$8:$G$184,A36)</f>
        <v/>
      </c>
      <c r="O36" s="17">
        <f>SUMIFS(Journal_Input!$K$8:$K$184,Journal_Input!$A$8:$A$184,"Current",Journal_Input!$I$8:$I$184,A36)</f>
        <v/>
      </c>
      <c r="P36" s="17">
        <f>IF(G36="Dr",M36+N36-O36,M36-N36+O36)</f>
        <v/>
      </c>
      <c r="Q36" s="17">
        <f>IF(C36="BS",L36*H36,IF(G36="Dr",(J36-K36)*H36,(K36-J36)*H36))</f>
        <v/>
      </c>
      <c r="R36" s="17">
        <f>IF(C36="BS",P36*H36,IF(G36="Dr",(N36-O36)*H36,(O36-N36)*H36))</f>
        <v/>
      </c>
      <c r="S36" s="16">
        <f>COA_Master!K35</f>
        <v/>
      </c>
      <c r="T36" s="16">
        <f>COA_Master!L35</f>
        <v/>
      </c>
      <c r="U36" s="16">
        <f>COA_Master!N35</f>
        <v/>
      </c>
    </row>
    <row r="37" ht="18" customHeight="1">
      <c r="A37" s="16">
        <f>COA_Master!A36</f>
        <v/>
      </c>
      <c r="B37" s="16">
        <f>COA_Master!B36</f>
        <v/>
      </c>
      <c r="C37" s="16">
        <f>COA_Master!D36</f>
        <v/>
      </c>
      <c r="D37" s="16">
        <f>COA_Master!E36</f>
        <v/>
      </c>
      <c r="E37" s="16">
        <f>COA_Master!F36</f>
        <v/>
      </c>
      <c r="F37" s="16">
        <f>COA_Master!G36</f>
        <v/>
      </c>
      <c r="G37" s="16">
        <f>COA_Master!H36</f>
        <v/>
      </c>
      <c r="H37" s="16">
        <f>COA_Master!I36</f>
        <v/>
      </c>
      <c r="I37" s="17">
        <f>COA_Master!M36</f>
        <v/>
      </c>
      <c r="J37" s="17">
        <f>SUMIFS(Journal_Input!$K$8:$K$184,Journal_Input!$A$8:$A$184,"Prior",Journal_Input!$G$8:$G$184,A37)</f>
        <v/>
      </c>
      <c r="K37" s="17">
        <f>SUMIFS(Journal_Input!$K$8:$K$184,Journal_Input!$A$8:$A$184,"Prior",Journal_Input!$I$8:$I$184,A37)</f>
        <v/>
      </c>
      <c r="L37" s="17">
        <f>IF(G37="Dr",I37+J37-K37,I37-J37+K37)</f>
        <v/>
      </c>
      <c r="M37" s="17">
        <f>L37</f>
        <v/>
      </c>
      <c r="N37" s="17">
        <f>SUMIFS(Journal_Input!$K$8:$K$184,Journal_Input!$A$8:$A$184,"Current",Journal_Input!$G$8:$G$184,A37)</f>
        <v/>
      </c>
      <c r="O37" s="17">
        <f>SUMIFS(Journal_Input!$K$8:$K$184,Journal_Input!$A$8:$A$184,"Current",Journal_Input!$I$8:$I$184,A37)</f>
        <v/>
      </c>
      <c r="P37" s="17">
        <f>IF(G37="Dr",M37+N37-O37,M37-N37+O37)</f>
        <v/>
      </c>
      <c r="Q37" s="17">
        <f>IF(C37="BS",L37*H37,IF(G37="Dr",(J37-K37)*H37,(K37-J37)*H37))</f>
        <v/>
      </c>
      <c r="R37" s="17">
        <f>IF(C37="BS",P37*H37,IF(G37="Dr",(N37-O37)*H37,(O37-N37)*H37))</f>
        <v/>
      </c>
      <c r="S37" s="16">
        <f>COA_Master!K36</f>
        <v/>
      </c>
      <c r="T37" s="16">
        <f>COA_Master!L36</f>
        <v/>
      </c>
      <c r="U37" s="16">
        <f>COA_Master!N36</f>
        <v/>
      </c>
    </row>
    <row r="38" ht="18" customHeight="1">
      <c r="A38" s="16">
        <f>COA_Master!A37</f>
        <v/>
      </c>
      <c r="B38" s="16">
        <f>COA_Master!B37</f>
        <v/>
      </c>
      <c r="C38" s="16">
        <f>COA_Master!D37</f>
        <v/>
      </c>
      <c r="D38" s="16">
        <f>COA_Master!E37</f>
        <v/>
      </c>
      <c r="E38" s="16">
        <f>COA_Master!F37</f>
        <v/>
      </c>
      <c r="F38" s="16">
        <f>COA_Master!G37</f>
        <v/>
      </c>
      <c r="G38" s="16">
        <f>COA_Master!H37</f>
        <v/>
      </c>
      <c r="H38" s="16">
        <f>COA_Master!I37</f>
        <v/>
      </c>
      <c r="I38" s="17">
        <f>COA_Master!M37</f>
        <v/>
      </c>
      <c r="J38" s="17">
        <f>SUMIFS(Journal_Input!$K$8:$K$184,Journal_Input!$A$8:$A$184,"Prior",Journal_Input!$G$8:$G$184,A38)</f>
        <v/>
      </c>
      <c r="K38" s="17">
        <f>SUMIFS(Journal_Input!$K$8:$K$184,Journal_Input!$A$8:$A$184,"Prior",Journal_Input!$I$8:$I$184,A38)</f>
        <v/>
      </c>
      <c r="L38" s="17">
        <f>IF(G38="Dr",I38+J38-K38,I38-J38+K38)</f>
        <v/>
      </c>
      <c r="M38" s="17">
        <f>L38</f>
        <v/>
      </c>
      <c r="N38" s="17">
        <f>SUMIFS(Journal_Input!$K$8:$K$184,Journal_Input!$A$8:$A$184,"Current",Journal_Input!$G$8:$G$184,A38)</f>
        <v/>
      </c>
      <c r="O38" s="17">
        <f>SUMIFS(Journal_Input!$K$8:$K$184,Journal_Input!$A$8:$A$184,"Current",Journal_Input!$I$8:$I$184,A38)</f>
        <v/>
      </c>
      <c r="P38" s="17">
        <f>IF(G38="Dr",M38+N38-O38,M38-N38+O38)</f>
        <v/>
      </c>
      <c r="Q38" s="17">
        <f>IF(C38="BS",L38*H38,IF(G38="Dr",(J38-K38)*H38,(K38-J38)*H38))</f>
        <v/>
      </c>
      <c r="R38" s="17">
        <f>IF(C38="BS",P38*H38,IF(G38="Dr",(N38-O38)*H38,(O38-N38)*H38))</f>
        <v/>
      </c>
      <c r="S38" s="16">
        <f>COA_Master!K37</f>
        <v/>
      </c>
      <c r="T38" s="16">
        <f>COA_Master!L37</f>
        <v/>
      </c>
      <c r="U38" s="16">
        <f>COA_Master!N37</f>
        <v/>
      </c>
    </row>
    <row r="39" ht="18" customHeight="1">
      <c r="A39" s="16">
        <f>COA_Master!A38</f>
        <v/>
      </c>
      <c r="B39" s="16">
        <f>COA_Master!B38</f>
        <v/>
      </c>
      <c r="C39" s="16">
        <f>COA_Master!D38</f>
        <v/>
      </c>
      <c r="D39" s="16">
        <f>COA_Master!E38</f>
        <v/>
      </c>
      <c r="E39" s="16">
        <f>COA_Master!F38</f>
        <v/>
      </c>
      <c r="F39" s="16">
        <f>COA_Master!G38</f>
        <v/>
      </c>
      <c r="G39" s="16">
        <f>COA_Master!H38</f>
        <v/>
      </c>
      <c r="H39" s="16">
        <f>COA_Master!I38</f>
        <v/>
      </c>
      <c r="I39" s="17">
        <f>COA_Master!M38</f>
        <v/>
      </c>
      <c r="J39" s="17">
        <f>SUMIFS(Journal_Input!$K$8:$K$184,Journal_Input!$A$8:$A$184,"Prior",Journal_Input!$G$8:$G$184,A39)</f>
        <v/>
      </c>
      <c r="K39" s="17">
        <f>SUMIFS(Journal_Input!$K$8:$K$184,Journal_Input!$A$8:$A$184,"Prior",Journal_Input!$I$8:$I$184,A39)</f>
        <v/>
      </c>
      <c r="L39" s="17">
        <f>IF(G39="Dr",I39+J39-K39,I39-J39+K39)</f>
        <v/>
      </c>
      <c r="M39" s="17">
        <f>L39</f>
        <v/>
      </c>
      <c r="N39" s="17">
        <f>SUMIFS(Journal_Input!$K$8:$K$184,Journal_Input!$A$8:$A$184,"Current",Journal_Input!$G$8:$G$184,A39)</f>
        <v/>
      </c>
      <c r="O39" s="17">
        <f>SUMIFS(Journal_Input!$K$8:$K$184,Journal_Input!$A$8:$A$184,"Current",Journal_Input!$I$8:$I$184,A39)</f>
        <v/>
      </c>
      <c r="P39" s="17">
        <f>IF(G39="Dr",M39+N39-O39,M39-N39+O39)</f>
        <v/>
      </c>
      <c r="Q39" s="17">
        <f>IF(C39="BS",L39*H39,IF(G39="Dr",(J39-K39)*H39,(K39-J39)*H39))</f>
        <v/>
      </c>
      <c r="R39" s="17">
        <f>IF(C39="BS",P39*H39,IF(G39="Dr",(N39-O39)*H39,(O39-N39)*H39))</f>
        <v/>
      </c>
      <c r="S39" s="16">
        <f>COA_Master!K38</f>
        <v/>
      </c>
      <c r="T39" s="16">
        <f>COA_Master!L38</f>
        <v/>
      </c>
      <c r="U39" s="16">
        <f>COA_Master!N38</f>
        <v/>
      </c>
    </row>
    <row r="40" ht="18" customHeight="1">
      <c r="A40" s="16">
        <f>COA_Master!A39</f>
        <v/>
      </c>
      <c r="B40" s="16">
        <f>COA_Master!B39</f>
        <v/>
      </c>
      <c r="C40" s="16">
        <f>COA_Master!D39</f>
        <v/>
      </c>
      <c r="D40" s="16">
        <f>COA_Master!E39</f>
        <v/>
      </c>
      <c r="E40" s="16">
        <f>COA_Master!F39</f>
        <v/>
      </c>
      <c r="F40" s="16">
        <f>COA_Master!G39</f>
        <v/>
      </c>
      <c r="G40" s="16">
        <f>COA_Master!H39</f>
        <v/>
      </c>
      <c r="H40" s="16">
        <f>COA_Master!I39</f>
        <v/>
      </c>
      <c r="I40" s="17">
        <f>COA_Master!M39</f>
        <v/>
      </c>
      <c r="J40" s="17">
        <f>SUMIFS(Journal_Input!$K$8:$K$184,Journal_Input!$A$8:$A$184,"Prior",Journal_Input!$G$8:$G$184,A40)</f>
        <v/>
      </c>
      <c r="K40" s="17">
        <f>SUMIFS(Journal_Input!$K$8:$K$184,Journal_Input!$A$8:$A$184,"Prior",Journal_Input!$I$8:$I$184,A40)</f>
        <v/>
      </c>
      <c r="L40" s="17">
        <f>IF(G40="Dr",I40+J40-K40,I40-J40+K40)</f>
        <v/>
      </c>
      <c r="M40" s="17">
        <f>L40</f>
        <v/>
      </c>
      <c r="N40" s="17">
        <f>SUMIFS(Journal_Input!$K$8:$K$184,Journal_Input!$A$8:$A$184,"Current",Journal_Input!$G$8:$G$184,A40)</f>
        <v/>
      </c>
      <c r="O40" s="17">
        <f>SUMIFS(Journal_Input!$K$8:$K$184,Journal_Input!$A$8:$A$184,"Current",Journal_Input!$I$8:$I$184,A40)</f>
        <v/>
      </c>
      <c r="P40" s="17">
        <f>IF(G40="Dr",M40+N40-O40,M40-N40+O40)</f>
        <v/>
      </c>
      <c r="Q40" s="17">
        <f>IF(C40="BS",L40*H40,IF(G40="Dr",(J40-K40)*H40,(K40-J40)*H40))</f>
        <v/>
      </c>
      <c r="R40" s="17">
        <f>IF(C40="BS",P40*H40,IF(G40="Dr",(N40-O40)*H40,(O40-N40)*H40))</f>
        <v/>
      </c>
      <c r="S40" s="16">
        <f>COA_Master!K39</f>
        <v/>
      </c>
      <c r="T40" s="16">
        <f>COA_Master!L39</f>
        <v/>
      </c>
      <c r="U40" s="16">
        <f>COA_Master!N39</f>
        <v/>
      </c>
    </row>
    <row r="41" ht="18" customHeight="1">
      <c r="A41" s="16">
        <f>COA_Master!A40</f>
        <v/>
      </c>
      <c r="B41" s="16">
        <f>COA_Master!B40</f>
        <v/>
      </c>
      <c r="C41" s="16">
        <f>COA_Master!D40</f>
        <v/>
      </c>
      <c r="D41" s="16">
        <f>COA_Master!E40</f>
        <v/>
      </c>
      <c r="E41" s="16">
        <f>COA_Master!F40</f>
        <v/>
      </c>
      <c r="F41" s="16">
        <f>COA_Master!G40</f>
        <v/>
      </c>
      <c r="G41" s="16">
        <f>COA_Master!H40</f>
        <v/>
      </c>
      <c r="H41" s="16">
        <f>COA_Master!I40</f>
        <v/>
      </c>
      <c r="I41" s="17">
        <f>COA_Master!M40</f>
        <v/>
      </c>
      <c r="J41" s="17">
        <f>SUMIFS(Journal_Input!$K$8:$K$184,Journal_Input!$A$8:$A$184,"Prior",Journal_Input!$G$8:$G$184,A41)</f>
        <v/>
      </c>
      <c r="K41" s="17">
        <f>SUMIFS(Journal_Input!$K$8:$K$184,Journal_Input!$A$8:$A$184,"Prior",Journal_Input!$I$8:$I$184,A41)</f>
        <v/>
      </c>
      <c r="L41" s="17">
        <f>IF(G41="Dr",I41+J41-K41,I41-J41+K41)</f>
        <v/>
      </c>
      <c r="M41" s="17">
        <f>L41</f>
        <v/>
      </c>
      <c r="N41" s="17">
        <f>SUMIFS(Journal_Input!$K$8:$K$184,Journal_Input!$A$8:$A$184,"Current",Journal_Input!$G$8:$G$184,A41)</f>
        <v/>
      </c>
      <c r="O41" s="17">
        <f>SUMIFS(Journal_Input!$K$8:$K$184,Journal_Input!$A$8:$A$184,"Current",Journal_Input!$I$8:$I$184,A41)</f>
        <v/>
      </c>
      <c r="P41" s="17">
        <f>IF(G41="Dr",M41+N41-O41,M41-N41+O41)</f>
        <v/>
      </c>
      <c r="Q41" s="17">
        <f>IF(C41="BS",L41*H41,IF(G41="Dr",(J41-K41)*H41,(K41-J41)*H41))</f>
        <v/>
      </c>
      <c r="R41" s="17">
        <f>IF(C41="BS",P41*H41,IF(G41="Dr",(N41-O41)*H41,(O41-N41)*H41))</f>
        <v/>
      </c>
      <c r="S41" s="16">
        <f>COA_Master!K40</f>
        <v/>
      </c>
      <c r="T41" s="16">
        <f>COA_Master!L40</f>
        <v/>
      </c>
      <c r="U41" s="16">
        <f>COA_Master!N40</f>
        <v/>
      </c>
    </row>
    <row r="42" ht="18" customHeight="1">
      <c r="A42" s="16">
        <f>COA_Master!A41</f>
        <v/>
      </c>
      <c r="B42" s="16">
        <f>COA_Master!B41</f>
        <v/>
      </c>
      <c r="C42" s="16">
        <f>COA_Master!D41</f>
        <v/>
      </c>
      <c r="D42" s="16">
        <f>COA_Master!E41</f>
        <v/>
      </c>
      <c r="E42" s="16">
        <f>COA_Master!F41</f>
        <v/>
      </c>
      <c r="F42" s="16">
        <f>COA_Master!G41</f>
        <v/>
      </c>
      <c r="G42" s="16">
        <f>COA_Master!H41</f>
        <v/>
      </c>
      <c r="H42" s="16">
        <f>COA_Master!I41</f>
        <v/>
      </c>
      <c r="I42" s="17">
        <f>COA_Master!M41</f>
        <v/>
      </c>
      <c r="J42" s="17">
        <f>SUMIFS(Journal_Input!$K$8:$K$184,Journal_Input!$A$8:$A$184,"Prior",Journal_Input!$G$8:$G$184,A42)</f>
        <v/>
      </c>
      <c r="K42" s="17">
        <f>SUMIFS(Journal_Input!$K$8:$K$184,Journal_Input!$A$8:$A$184,"Prior",Journal_Input!$I$8:$I$184,A42)</f>
        <v/>
      </c>
      <c r="L42" s="17">
        <f>IF(G42="Dr",I42+J42-K42,I42-J42+K42)</f>
        <v/>
      </c>
      <c r="M42" s="17">
        <f>L42</f>
        <v/>
      </c>
      <c r="N42" s="17">
        <f>SUMIFS(Journal_Input!$K$8:$K$184,Journal_Input!$A$8:$A$184,"Current",Journal_Input!$G$8:$G$184,A42)</f>
        <v/>
      </c>
      <c r="O42" s="17">
        <f>SUMIFS(Journal_Input!$K$8:$K$184,Journal_Input!$A$8:$A$184,"Current",Journal_Input!$I$8:$I$184,A42)</f>
        <v/>
      </c>
      <c r="P42" s="17">
        <f>IF(G42="Dr",M42+N42-O42,M42-N42+O42)</f>
        <v/>
      </c>
      <c r="Q42" s="17">
        <f>IF(C42="BS",L42*H42,IF(G42="Dr",(J42-K42)*H42,(K42-J42)*H42))</f>
        <v/>
      </c>
      <c r="R42" s="17">
        <f>IF(C42="BS",P42*H42,IF(G42="Dr",(N42-O42)*H42,(O42-N42)*H42))</f>
        <v/>
      </c>
      <c r="S42" s="16">
        <f>COA_Master!K41</f>
        <v/>
      </c>
      <c r="T42" s="16">
        <f>COA_Master!L41</f>
        <v/>
      </c>
      <c r="U42" s="16">
        <f>COA_Master!N41</f>
        <v/>
      </c>
    </row>
    <row r="43" ht="18" customHeight="1">
      <c r="A43" s="16">
        <f>COA_Master!A42</f>
        <v/>
      </c>
      <c r="B43" s="16">
        <f>COA_Master!B42</f>
        <v/>
      </c>
      <c r="C43" s="16">
        <f>COA_Master!D42</f>
        <v/>
      </c>
      <c r="D43" s="16">
        <f>COA_Master!E42</f>
        <v/>
      </c>
      <c r="E43" s="16">
        <f>COA_Master!F42</f>
        <v/>
      </c>
      <c r="F43" s="16">
        <f>COA_Master!G42</f>
        <v/>
      </c>
      <c r="G43" s="16">
        <f>COA_Master!H42</f>
        <v/>
      </c>
      <c r="H43" s="16">
        <f>COA_Master!I42</f>
        <v/>
      </c>
      <c r="I43" s="17">
        <f>COA_Master!M42</f>
        <v/>
      </c>
      <c r="J43" s="17">
        <f>SUMIFS(Journal_Input!$K$8:$K$184,Journal_Input!$A$8:$A$184,"Prior",Journal_Input!$G$8:$G$184,A43)</f>
        <v/>
      </c>
      <c r="K43" s="17">
        <f>SUMIFS(Journal_Input!$K$8:$K$184,Journal_Input!$A$8:$A$184,"Prior",Journal_Input!$I$8:$I$184,A43)</f>
        <v/>
      </c>
      <c r="L43" s="17">
        <f>IF(G43="Dr",I43+J43-K43,I43-J43+K43)</f>
        <v/>
      </c>
      <c r="M43" s="17">
        <f>L43</f>
        <v/>
      </c>
      <c r="N43" s="17">
        <f>SUMIFS(Journal_Input!$K$8:$K$184,Journal_Input!$A$8:$A$184,"Current",Journal_Input!$G$8:$G$184,A43)</f>
        <v/>
      </c>
      <c r="O43" s="17">
        <f>SUMIFS(Journal_Input!$K$8:$K$184,Journal_Input!$A$8:$A$184,"Current",Journal_Input!$I$8:$I$184,A43)</f>
        <v/>
      </c>
      <c r="P43" s="17">
        <f>IF(G43="Dr",M43+N43-O43,M43-N43+O43)</f>
        <v/>
      </c>
      <c r="Q43" s="17">
        <f>IF(C43="BS",L43*H43,IF(G43="Dr",(J43-K43)*H43,(K43-J43)*H43))</f>
        <v/>
      </c>
      <c r="R43" s="17">
        <f>IF(C43="BS",P43*H43,IF(G43="Dr",(N43-O43)*H43,(O43-N43)*H43))</f>
        <v/>
      </c>
      <c r="S43" s="16">
        <f>COA_Master!K42</f>
        <v/>
      </c>
      <c r="T43" s="16">
        <f>COA_Master!L42</f>
        <v/>
      </c>
      <c r="U43" s="16">
        <f>COA_Master!N42</f>
        <v/>
      </c>
    </row>
    <row r="44" ht="18" customHeight="1">
      <c r="A44" s="16">
        <f>COA_Master!A43</f>
        <v/>
      </c>
      <c r="B44" s="16">
        <f>COA_Master!B43</f>
        <v/>
      </c>
      <c r="C44" s="16">
        <f>COA_Master!D43</f>
        <v/>
      </c>
      <c r="D44" s="16">
        <f>COA_Master!E43</f>
        <v/>
      </c>
      <c r="E44" s="16">
        <f>COA_Master!F43</f>
        <v/>
      </c>
      <c r="F44" s="16">
        <f>COA_Master!G43</f>
        <v/>
      </c>
      <c r="G44" s="16">
        <f>COA_Master!H43</f>
        <v/>
      </c>
      <c r="H44" s="16">
        <f>COA_Master!I43</f>
        <v/>
      </c>
      <c r="I44" s="17">
        <f>COA_Master!M43</f>
        <v/>
      </c>
      <c r="J44" s="17">
        <f>SUMIFS(Journal_Input!$K$8:$K$184,Journal_Input!$A$8:$A$184,"Prior",Journal_Input!$G$8:$G$184,A44)</f>
        <v/>
      </c>
      <c r="K44" s="17">
        <f>SUMIFS(Journal_Input!$K$8:$K$184,Journal_Input!$A$8:$A$184,"Prior",Journal_Input!$I$8:$I$184,A44)</f>
        <v/>
      </c>
      <c r="L44" s="17">
        <f>IF(G44="Dr",I44+J44-K44,I44-J44+K44)</f>
        <v/>
      </c>
      <c r="M44" s="17">
        <f>L44</f>
        <v/>
      </c>
      <c r="N44" s="17">
        <f>SUMIFS(Journal_Input!$K$8:$K$184,Journal_Input!$A$8:$A$184,"Current",Journal_Input!$G$8:$G$184,A44)</f>
        <v/>
      </c>
      <c r="O44" s="17">
        <f>SUMIFS(Journal_Input!$K$8:$K$184,Journal_Input!$A$8:$A$184,"Current",Journal_Input!$I$8:$I$184,A44)</f>
        <v/>
      </c>
      <c r="P44" s="17">
        <f>IF(G44="Dr",M44+N44-O44,M44-N44+O44)</f>
        <v/>
      </c>
      <c r="Q44" s="17">
        <f>IF(C44="BS",L44*H44,IF(G44="Dr",(J44-K44)*H44,(K44-J44)*H44))</f>
        <v/>
      </c>
      <c r="R44" s="17">
        <f>IF(C44="BS",P44*H44,IF(G44="Dr",(N44-O44)*H44,(O44-N44)*H44))</f>
        <v/>
      </c>
      <c r="S44" s="16">
        <f>COA_Master!K43</f>
        <v/>
      </c>
      <c r="T44" s="16">
        <f>COA_Master!L43</f>
        <v/>
      </c>
      <c r="U44" s="16">
        <f>COA_Master!N43</f>
        <v/>
      </c>
    </row>
    <row r="45" ht="18" customHeight="1">
      <c r="A45" s="16">
        <f>COA_Master!A44</f>
        <v/>
      </c>
      <c r="B45" s="16">
        <f>COA_Master!B44</f>
        <v/>
      </c>
      <c r="C45" s="16">
        <f>COA_Master!D44</f>
        <v/>
      </c>
      <c r="D45" s="16">
        <f>COA_Master!E44</f>
        <v/>
      </c>
      <c r="E45" s="16">
        <f>COA_Master!F44</f>
        <v/>
      </c>
      <c r="F45" s="16">
        <f>COA_Master!G44</f>
        <v/>
      </c>
      <c r="G45" s="16">
        <f>COA_Master!H44</f>
        <v/>
      </c>
      <c r="H45" s="16">
        <f>COA_Master!I44</f>
        <v/>
      </c>
      <c r="I45" s="17">
        <f>COA_Master!M44</f>
        <v/>
      </c>
      <c r="J45" s="17">
        <f>SUMIFS(Journal_Input!$K$8:$K$184,Journal_Input!$A$8:$A$184,"Prior",Journal_Input!$G$8:$G$184,A45)</f>
        <v/>
      </c>
      <c r="K45" s="17">
        <f>SUMIFS(Journal_Input!$K$8:$K$184,Journal_Input!$A$8:$A$184,"Prior",Journal_Input!$I$8:$I$184,A45)</f>
        <v/>
      </c>
      <c r="L45" s="17">
        <f>IF(G45="Dr",I45+J45-K45,I45-J45+K45)</f>
        <v/>
      </c>
      <c r="M45" s="17">
        <f>L45</f>
        <v/>
      </c>
      <c r="N45" s="17">
        <f>SUMIFS(Journal_Input!$K$8:$K$184,Journal_Input!$A$8:$A$184,"Current",Journal_Input!$G$8:$G$184,A45)</f>
        <v/>
      </c>
      <c r="O45" s="17">
        <f>SUMIFS(Journal_Input!$K$8:$K$184,Journal_Input!$A$8:$A$184,"Current",Journal_Input!$I$8:$I$184,A45)</f>
        <v/>
      </c>
      <c r="P45" s="17">
        <f>IF(G45="Dr",M45+N45-O45,M45-N45+O45)</f>
        <v/>
      </c>
      <c r="Q45" s="17">
        <f>IF(C45="BS",L45*H45,IF(G45="Dr",(J45-K45)*H45,(K45-J45)*H45))</f>
        <v/>
      </c>
      <c r="R45" s="17">
        <f>IF(C45="BS",P45*H45,IF(G45="Dr",(N45-O45)*H45,(O45-N45)*H45))</f>
        <v/>
      </c>
      <c r="S45" s="16">
        <f>COA_Master!K44</f>
        <v/>
      </c>
      <c r="T45" s="16">
        <f>COA_Master!L44</f>
        <v/>
      </c>
      <c r="U45" s="16">
        <f>COA_Master!N44</f>
        <v/>
      </c>
    </row>
    <row r="46" ht="18" customHeight="1">
      <c r="A46" s="16">
        <f>COA_Master!A45</f>
        <v/>
      </c>
      <c r="B46" s="16">
        <f>COA_Master!B45</f>
        <v/>
      </c>
      <c r="C46" s="16">
        <f>COA_Master!D45</f>
        <v/>
      </c>
      <c r="D46" s="16">
        <f>COA_Master!E45</f>
        <v/>
      </c>
      <c r="E46" s="16">
        <f>COA_Master!F45</f>
        <v/>
      </c>
      <c r="F46" s="16">
        <f>COA_Master!G45</f>
        <v/>
      </c>
      <c r="G46" s="16">
        <f>COA_Master!H45</f>
        <v/>
      </c>
      <c r="H46" s="16">
        <f>COA_Master!I45</f>
        <v/>
      </c>
      <c r="I46" s="17">
        <f>COA_Master!M45</f>
        <v/>
      </c>
      <c r="J46" s="17">
        <f>SUMIFS(Journal_Input!$K$8:$K$184,Journal_Input!$A$8:$A$184,"Prior",Journal_Input!$G$8:$G$184,A46)</f>
        <v/>
      </c>
      <c r="K46" s="17">
        <f>SUMIFS(Journal_Input!$K$8:$K$184,Journal_Input!$A$8:$A$184,"Prior",Journal_Input!$I$8:$I$184,A46)</f>
        <v/>
      </c>
      <c r="L46" s="17">
        <f>IF(G46="Dr",I46+J46-K46,I46-J46+K46)</f>
        <v/>
      </c>
      <c r="M46" s="17">
        <f>L46</f>
        <v/>
      </c>
      <c r="N46" s="17">
        <f>SUMIFS(Journal_Input!$K$8:$K$184,Journal_Input!$A$8:$A$184,"Current",Journal_Input!$G$8:$G$184,A46)</f>
        <v/>
      </c>
      <c r="O46" s="17">
        <f>SUMIFS(Journal_Input!$K$8:$K$184,Journal_Input!$A$8:$A$184,"Current",Journal_Input!$I$8:$I$184,A46)</f>
        <v/>
      </c>
      <c r="P46" s="17">
        <f>IF(G46="Dr",M46+N46-O46,M46-N46+O46)</f>
        <v/>
      </c>
      <c r="Q46" s="17">
        <f>IF(C46="BS",L46*H46,IF(G46="Dr",(J46-K46)*H46,(K46-J46)*H46))</f>
        <v/>
      </c>
      <c r="R46" s="17">
        <f>IF(C46="BS",P46*H46,IF(G46="Dr",(N46-O46)*H46,(O46-N46)*H46))</f>
        <v/>
      </c>
      <c r="S46" s="16">
        <f>COA_Master!K45</f>
        <v/>
      </c>
      <c r="T46" s="16">
        <f>COA_Master!L45</f>
        <v/>
      </c>
      <c r="U46" s="16">
        <f>COA_Master!N45</f>
        <v/>
      </c>
    </row>
    <row r="47" ht="18" customHeight="1">
      <c r="A47" s="16">
        <f>COA_Master!A46</f>
        <v/>
      </c>
      <c r="B47" s="16">
        <f>COA_Master!B46</f>
        <v/>
      </c>
      <c r="C47" s="16">
        <f>COA_Master!D46</f>
        <v/>
      </c>
      <c r="D47" s="16">
        <f>COA_Master!E46</f>
        <v/>
      </c>
      <c r="E47" s="16">
        <f>COA_Master!F46</f>
        <v/>
      </c>
      <c r="F47" s="16">
        <f>COA_Master!G46</f>
        <v/>
      </c>
      <c r="G47" s="16">
        <f>COA_Master!H46</f>
        <v/>
      </c>
      <c r="H47" s="16">
        <f>COA_Master!I46</f>
        <v/>
      </c>
      <c r="I47" s="17">
        <f>COA_Master!M46</f>
        <v/>
      </c>
      <c r="J47" s="17">
        <f>SUMIFS(Journal_Input!$K$8:$K$184,Journal_Input!$A$8:$A$184,"Prior",Journal_Input!$G$8:$G$184,A47)</f>
        <v/>
      </c>
      <c r="K47" s="17">
        <f>SUMIFS(Journal_Input!$K$8:$K$184,Journal_Input!$A$8:$A$184,"Prior",Journal_Input!$I$8:$I$184,A47)</f>
        <v/>
      </c>
      <c r="L47" s="17">
        <f>IF(G47="Dr",I47+J47-K47,I47-J47+K47)</f>
        <v/>
      </c>
      <c r="M47" s="17">
        <f>L47</f>
        <v/>
      </c>
      <c r="N47" s="17">
        <f>SUMIFS(Journal_Input!$K$8:$K$184,Journal_Input!$A$8:$A$184,"Current",Journal_Input!$G$8:$G$184,A47)</f>
        <v/>
      </c>
      <c r="O47" s="17">
        <f>SUMIFS(Journal_Input!$K$8:$K$184,Journal_Input!$A$8:$A$184,"Current",Journal_Input!$I$8:$I$184,A47)</f>
        <v/>
      </c>
      <c r="P47" s="17">
        <f>IF(G47="Dr",M47+N47-O47,M47-N47+O47)</f>
        <v/>
      </c>
      <c r="Q47" s="17">
        <f>IF(C47="BS",L47*H47,IF(G47="Dr",(J47-K47)*H47,(K47-J47)*H47))</f>
        <v/>
      </c>
      <c r="R47" s="17">
        <f>IF(C47="BS",P47*H47,IF(G47="Dr",(N47-O47)*H47,(O47-N47)*H47))</f>
        <v/>
      </c>
      <c r="S47" s="16">
        <f>COA_Master!K46</f>
        <v/>
      </c>
      <c r="T47" s="16">
        <f>COA_Master!L46</f>
        <v/>
      </c>
      <c r="U47" s="16">
        <f>COA_Master!N46</f>
        <v/>
      </c>
    </row>
    <row r="48" ht="18" customHeight="1">
      <c r="A48" s="16">
        <f>COA_Master!A47</f>
        <v/>
      </c>
      <c r="B48" s="16">
        <f>COA_Master!B47</f>
        <v/>
      </c>
      <c r="C48" s="16">
        <f>COA_Master!D47</f>
        <v/>
      </c>
      <c r="D48" s="16">
        <f>COA_Master!E47</f>
        <v/>
      </c>
      <c r="E48" s="16">
        <f>COA_Master!F47</f>
        <v/>
      </c>
      <c r="F48" s="16">
        <f>COA_Master!G47</f>
        <v/>
      </c>
      <c r="G48" s="16">
        <f>COA_Master!H47</f>
        <v/>
      </c>
      <c r="H48" s="16">
        <f>COA_Master!I47</f>
        <v/>
      </c>
      <c r="I48" s="17">
        <f>COA_Master!M47</f>
        <v/>
      </c>
      <c r="J48" s="17">
        <f>SUMIFS(Journal_Input!$K$8:$K$184,Journal_Input!$A$8:$A$184,"Prior",Journal_Input!$G$8:$G$184,A48)</f>
        <v/>
      </c>
      <c r="K48" s="17">
        <f>SUMIFS(Journal_Input!$K$8:$K$184,Journal_Input!$A$8:$A$184,"Prior",Journal_Input!$I$8:$I$184,A48)</f>
        <v/>
      </c>
      <c r="L48" s="17">
        <f>IF(G48="Dr",I48+J48-K48,I48-J48+K48)</f>
        <v/>
      </c>
      <c r="M48" s="17">
        <f>L48</f>
        <v/>
      </c>
      <c r="N48" s="17">
        <f>SUMIFS(Journal_Input!$K$8:$K$184,Journal_Input!$A$8:$A$184,"Current",Journal_Input!$G$8:$G$184,A48)</f>
        <v/>
      </c>
      <c r="O48" s="17">
        <f>SUMIFS(Journal_Input!$K$8:$K$184,Journal_Input!$A$8:$A$184,"Current",Journal_Input!$I$8:$I$184,A48)</f>
        <v/>
      </c>
      <c r="P48" s="17">
        <f>IF(G48="Dr",M48+N48-O48,M48-N48+O48)</f>
        <v/>
      </c>
      <c r="Q48" s="17">
        <f>IF(C48="BS",L48*H48,IF(G48="Dr",(J48-K48)*H48,(K48-J48)*H48))</f>
        <v/>
      </c>
      <c r="R48" s="17">
        <f>IF(C48="BS",P48*H48,IF(G48="Dr",(N48-O48)*H48,(O48-N48)*H48))</f>
        <v/>
      </c>
      <c r="S48" s="16">
        <f>COA_Master!K47</f>
        <v/>
      </c>
      <c r="T48" s="16">
        <f>COA_Master!L47</f>
        <v/>
      </c>
      <c r="U48" s="16">
        <f>COA_Master!N47</f>
        <v/>
      </c>
    </row>
    <row r="49" ht="18" customHeight="1">
      <c r="A49" s="16">
        <f>COA_Master!A48</f>
        <v/>
      </c>
      <c r="B49" s="16">
        <f>COA_Master!B48</f>
        <v/>
      </c>
      <c r="C49" s="16">
        <f>COA_Master!D48</f>
        <v/>
      </c>
      <c r="D49" s="16">
        <f>COA_Master!E48</f>
        <v/>
      </c>
      <c r="E49" s="16">
        <f>COA_Master!F48</f>
        <v/>
      </c>
      <c r="F49" s="16">
        <f>COA_Master!G48</f>
        <v/>
      </c>
      <c r="G49" s="16">
        <f>COA_Master!H48</f>
        <v/>
      </c>
      <c r="H49" s="16">
        <f>COA_Master!I48</f>
        <v/>
      </c>
      <c r="I49" s="17">
        <f>COA_Master!M48</f>
        <v/>
      </c>
      <c r="J49" s="17">
        <f>SUMIFS(Journal_Input!$K$8:$K$184,Journal_Input!$A$8:$A$184,"Prior",Journal_Input!$G$8:$G$184,A49)</f>
        <v/>
      </c>
      <c r="K49" s="17">
        <f>SUMIFS(Journal_Input!$K$8:$K$184,Journal_Input!$A$8:$A$184,"Prior",Journal_Input!$I$8:$I$184,A49)</f>
        <v/>
      </c>
      <c r="L49" s="17">
        <f>IF(G49="Dr",I49+J49-K49,I49-J49+K49)</f>
        <v/>
      </c>
      <c r="M49" s="17">
        <f>L49</f>
        <v/>
      </c>
      <c r="N49" s="17">
        <f>SUMIFS(Journal_Input!$K$8:$K$184,Journal_Input!$A$8:$A$184,"Current",Journal_Input!$G$8:$G$184,A49)</f>
        <v/>
      </c>
      <c r="O49" s="17">
        <f>SUMIFS(Journal_Input!$K$8:$K$184,Journal_Input!$A$8:$A$184,"Current",Journal_Input!$I$8:$I$184,A49)</f>
        <v/>
      </c>
      <c r="P49" s="17">
        <f>IF(G49="Dr",M49+N49-O49,M49-N49+O49)</f>
        <v/>
      </c>
      <c r="Q49" s="17">
        <f>IF(C49="BS",L49*H49,IF(G49="Dr",(J49-K49)*H49,(K49-J49)*H49))</f>
        <v/>
      </c>
      <c r="R49" s="17">
        <f>IF(C49="BS",P49*H49,IF(G49="Dr",(N49-O49)*H49,(O49-N49)*H49))</f>
        <v/>
      </c>
      <c r="S49" s="16">
        <f>COA_Master!K48</f>
        <v/>
      </c>
      <c r="T49" s="16">
        <f>COA_Master!L48</f>
        <v/>
      </c>
      <c r="U49" s="16">
        <f>COA_Master!N48</f>
        <v/>
      </c>
    </row>
    <row r="50" ht="18" customHeight="1">
      <c r="A50" s="16">
        <f>COA_Master!A49</f>
        <v/>
      </c>
      <c r="B50" s="16">
        <f>COA_Master!B49</f>
        <v/>
      </c>
      <c r="C50" s="16">
        <f>COA_Master!D49</f>
        <v/>
      </c>
      <c r="D50" s="16">
        <f>COA_Master!E49</f>
        <v/>
      </c>
      <c r="E50" s="16">
        <f>COA_Master!F49</f>
        <v/>
      </c>
      <c r="F50" s="16">
        <f>COA_Master!G49</f>
        <v/>
      </c>
      <c r="G50" s="16">
        <f>COA_Master!H49</f>
        <v/>
      </c>
      <c r="H50" s="16">
        <f>COA_Master!I49</f>
        <v/>
      </c>
      <c r="I50" s="17">
        <f>COA_Master!M49</f>
        <v/>
      </c>
      <c r="J50" s="17">
        <f>SUMIFS(Journal_Input!$K$8:$K$184,Journal_Input!$A$8:$A$184,"Prior",Journal_Input!$G$8:$G$184,A50)</f>
        <v/>
      </c>
      <c r="K50" s="17">
        <f>SUMIFS(Journal_Input!$K$8:$K$184,Journal_Input!$A$8:$A$184,"Prior",Journal_Input!$I$8:$I$184,A50)</f>
        <v/>
      </c>
      <c r="L50" s="17">
        <f>IF(G50="Dr",I50+J50-K50,I50-J50+K50)</f>
        <v/>
      </c>
      <c r="M50" s="17">
        <f>L50</f>
        <v/>
      </c>
      <c r="N50" s="17">
        <f>SUMIFS(Journal_Input!$K$8:$K$184,Journal_Input!$A$8:$A$184,"Current",Journal_Input!$G$8:$G$184,A50)</f>
        <v/>
      </c>
      <c r="O50" s="17">
        <f>SUMIFS(Journal_Input!$K$8:$K$184,Journal_Input!$A$8:$A$184,"Current",Journal_Input!$I$8:$I$184,A50)</f>
        <v/>
      </c>
      <c r="P50" s="17">
        <f>IF(G50="Dr",M50+N50-O50,M50-N50+O50)</f>
        <v/>
      </c>
      <c r="Q50" s="17">
        <f>IF(C50="BS",L50*H50,IF(G50="Dr",(J50-K50)*H50,(K50-J50)*H50))</f>
        <v/>
      </c>
      <c r="R50" s="17">
        <f>IF(C50="BS",P50*H50,IF(G50="Dr",(N50-O50)*H50,(O50-N50)*H50))</f>
        <v/>
      </c>
      <c r="S50" s="16">
        <f>COA_Master!K49</f>
        <v/>
      </c>
      <c r="T50" s="16">
        <f>COA_Master!L49</f>
        <v/>
      </c>
      <c r="U50" s="16">
        <f>COA_Master!N49</f>
        <v/>
      </c>
    </row>
    <row r="51" ht="18" customHeight="1">
      <c r="A51" s="16">
        <f>COA_Master!A50</f>
        <v/>
      </c>
      <c r="B51" s="16">
        <f>COA_Master!B50</f>
        <v/>
      </c>
      <c r="C51" s="16">
        <f>COA_Master!D50</f>
        <v/>
      </c>
      <c r="D51" s="16">
        <f>COA_Master!E50</f>
        <v/>
      </c>
      <c r="E51" s="16">
        <f>COA_Master!F50</f>
        <v/>
      </c>
      <c r="F51" s="16">
        <f>COA_Master!G50</f>
        <v/>
      </c>
      <c r="G51" s="16">
        <f>COA_Master!H50</f>
        <v/>
      </c>
      <c r="H51" s="16">
        <f>COA_Master!I50</f>
        <v/>
      </c>
      <c r="I51" s="17">
        <f>COA_Master!M50</f>
        <v/>
      </c>
      <c r="J51" s="17">
        <f>SUMIFS(Journal_Input!$K$8:$K$184,Journal_Input!$A$8:$A$184,"Prior",Journal_Input!$G$8:$G$184,A51)</f>
        <v/>
      </c>
      <c r="K51" s="17">
        <f>SUMIFS(Journal_Input!$K$8:$K$184,Journal_Input!$A$8:$A$184,"Prior",Journal_Input!$I$8:$I$184,A51)</f>
        <v/>
      </c>
      <c r="L51" s="17">
        <f>IF(G51="Dr",I51+J51-K51,I51-J51+K51)</f>
        <v/>
      </c>
      <c r="M51" s="17">
        <f>L51</f>
        <v/>
      </c>
      <c r="N51" s="17">
        <f>SUMIFS(Journal_Input!$K$8:$K$184,Journal_Input!$A$8:$A$184,"Current",Journal_Input!$G$8:$G$184,A51)</f>
        <v/>
      </c>
      <c r="O51" s="17">
        <f>SUMIFS(Journal_Input!$K$8:$K$184,Journal_Input!$A$8:$A$184,"Current",Journal_Input!$I$8:$I$184,A51)</f>
        <v/>
      </c>
      <c r="P51" s="17">
        <f>IF(G51="Dr",M51+N51-O51,M51-N51+O51)</f>
        <v/>
      </c>
      <c r="Q51" s="17">
        <f>IF(C51="BS",L51*H51,IF(G51="Dr",(J51-K51)*H51,(K51-J51)*H51))</f>
        <v/>
      </c>
      <c r="R51" s="17">
        <f>IF(C51="BS",P51*H51,IF(G51="Dr",(N51-O51)*H51,(O51-N51)*H51))</f>
        <v/>
      </c>
      <c r="S51" s="16">
        <f>COA_Master!K50</f>
        <v/>
      </c>
      <c r="T51" s="16">
        <f>COA_Master!L50</f>
        <v/>
      </c>
      <c r="U51" s="16">
        <f>COA_Master!N50</f>
        <v/>
      </c>
    </row>
    <row r="52" ht="18" customHeight="1">
      <c r="A52" s="16">
        <f>COA_Master!A51</f>
        <v/>
      </c>
      <c r="B52" s="16">
        <f>COA_Master!B51</f>
        <v/>
      </c>
      <c r="C52" s="16">
        <f>COA_Master!D51</f>
        <v/>
      </c>
      <c r="D52" s="16">
        <f>COA_Master!E51</f>
        <v/>
      </c>
      <c r="E52" s="16">
        <f>COA_Master!F51</f>
        <v/>
      </c>
      <c r="F52" s="16">
        <f>COA_Master!G51</f>
        <v/>
      </c>
      <c r="G52" s="16">
        <f>COA_Master!H51</f>
        <v/>
      </c>
      <c r="H52" s="16">
        <f>COA_Master!I51</f>
        <v/>
      </c>
      <c r="I52" s="17">
        <f>COA_Master!M51</f>
        <v/>
      </c>
      <c r="J52" s="17">
        <f>SUMIFS(Journal_Input!$K$8:$K$184,Journal_Input!$A$8:$A$184,"Prior",Journal_Input!$G$8:$G$184,A52)</f>
        <v/>
      </c>
      <c r="K52" s="17">
        <f>SUMIFS(Journal_Input!$K$8:$K$184,Journal_Input!$A$8:$A$184,"Prior",Journal_Input!$I$8:$I$184,A52)</f>
        <v/>
      </c>
      <c r="L52" s="17">
        <f>IF(G52="Dr",I52+J52-K52,I52-J52+K52)</f>
        <v/>
      </c>
      <c r="M52" s="17">
        <f>L52</f>
        <v/>
      </c>
      <c r="N52" s="17">
        <f>SUMIFS(Journal_Input!$K$8:$K$184,Journal_Input!$A$8:$A$184,"Current",Journal_Input!$G$8:$G$184,A52)</f>
        <v/>
      </c>
      <c r="O52" s="17">
        <f>SUMIFS(Journal_Input!$K$8:$K$184,Journal_Input!$A$8:$A$184,"Current",Journal_Input!$I$8:$I$184,A52)</f>
        <v/>
      </c>
      <c r="P52" s="17">
        <f>IF(G52="Dr",M52+N52-O52,M52-N52+O52)</f>
        <v/>
      </c>
      <c r="Q52" s="17">
        <f>IF(C52="BS",L52*H52,IF(G52="Dr",(J52-K52)*H52,(K52-J52)*H52))</f>
        <v/>
      </c>
      <c r="R52" s="17">
        <f>IF(C52="BS",P52*H52,IF(G52="Dr",(N52-O52)*H52,(O52-N52)*H52))</f>
        <v/>
      </c>
      <c r="S52" s="16">
        <f>COA_Master!K51</f>
        <v/>
      </c>
      <c r="T52" s="16">
        <f>COA_Master!L51</f>
        <v/>
      </c>
      <c r="U52" s="16">
        <f>COA_Master!N51</f>
        <v/>
      </c>
    </row>
    <row r="53" ht="18" customHeight="1">
      <c r="A53" s="16">
        <f>COA_Master!A52</f>
        <v/>
      </c>
      <c r="B53" s="16">
        <f>COA_Master!B52</f>
        <v/>
      </c>
      <c r="C53" s="16">
        <f>COA_Master!D52</f>
        <v/>
      </c>
      <c r="D53" s="16">
        <f>COA_Master!E52</f>
        <v/>
      </c>
      <c r="E53" s="16">
        <f>COA_Master!F52</f>
        <v/>
      </c>
      <c r="F53" s="16">
        <f>COA_Master!G52</f>
        <v/>
      </c>
      <c r="G53" s="16">
        <f>COA_Master!H52</f>
        <v/>
      </c>
      <c r="H53" s="16">
        <f>COA_Master!I52</f>
        <v/>
      </c>
      <c r="I53" s="17">
        <f>COA_Master!M52</f>
        <v/>
      </c>
      <c r="J53" s="17">
        <f>SUMIFS(Journal_Input!$K$8:$K$184,Journal_Input!$A$8:$A$184,"Prior",Journal_Input!$G$8:$G$184,A53)</f>
        <v/>
      </c>
      <c r="K53" s="17">
        <f>SUMIFS(Journal_Input!$K$8:$K$184,Journal_Input!$A$8:$A$184,"Prior",Journal_Input!$I$8:$I$184,A53)</f>
        <v/>
      </c>
      <c r="L53" s="17">
        <f>IF(G53="Dr",I53+J53-K53,I53-J53+K53)</f>
        <v/>
      </c>
      <c r="M53" s="17">
        <f>L53</f>
        <v/>
      </c>
      <c r="N53" s="17">
        <f>SUMIFS(Journal_Input!$K$8:$K$184,Journal_Input!$A$8:$A$184,"Current",Journal_Input!$G$8:$G$184,A53)</f>
        <v/>
      </c>
      <c r="O53" s="17">
        <f>SUMIFS(Journal_Input!$K$8:$K$184,Journal_Input!$A$8:$A$184,"Current",Journal_Input!$I$8:$I$184,A53)</f>
        <v/>
      </c>
      <c r="P53" s="17">
        <f>IF(G53="Dr",M53+N53-O53,M53-N53+O53)</f>
        <v/>
      </c>
      <c r="Q53" s="17">
        <f>IF(C53="BS",L53*H53,IF(G53="Dr",(J53-K53)*H53,(K53-J53)*H53))</f>
        <v/>
      </c>
      <c r="R53" s="17">
        <f>IF(C53="BS",P53*H53,IF(G53="Dr",(N53-O53)*H53,(O53-N53)*H53))</f>
        <v/>
      </c>
      <c r="S53" s="16">
        <f>COA_Master!K52</f>
        <v/>
      </c>
      <c r="T53" s="16">
        <f>COA_Master!L52</f>
        <v/>
      </c>
      <c r="U53" s="16">
        <f>COA_Master!N52</f>
        <v/>
      </c>
    </row>
    <row r="54" ht="18" customHeight="1">
      <c r="A54" s="16">
        <f>COA_Master!A53</f>
        <v/>
      </c>
      <c r="B54" s="16">
        <f>COA_Master!B53</f>
        <v/>
      </c>
      <c r="C54" s="16">
        <f>COA_Master!D53</f>
        <v/>
      </c>
      <c r="D54" s="16">
        <f>COA_Master!E53</f>
        <v/>
      </c>
      <c r="E54" s="16">
        <f>COA_Master!F53</f>
        <v/>
      </c>
      <c r="F54" s="16">
        <f>COA_Master!G53</f>
        <v/>
      </c>
      <c r="G54" s="16">
        <f>COA_Master!H53</f>
        <v/>
      </c>
      <c r="H54" s="16">
        <f>COA_Master!I53</f>
        <v/>
      </c>
      <c r="I54" s="17">
        <f>COA_Master!M53</f>
        <v/>
      </c>
      <c r="J54" s="17">
        <f>SUMIFS(Journal_Input!$K$8:$K$184,Journal_Input!$A$8:$A$184,"Prior",Journal_Input!$G$8:$G$184,A54)</f>
        <v/>
      </c>
      <c r="K54" s="17">
        <f>SUMIFS(Journal_Input!$K$8:$K$184,Journal_Input!$A$8:$A$184,"Prior",Journal_Input!$I$8:$I$184,A54)</f>
        <v/>
      </c>
      <c r="L54" s="17">
        <f>IF(G54="Dr",I54+J54-K54,I54-J54+K54)</f>
        <v/>
      </c>
      <c r="M54" s="17">
        <f>L54</f>
        <v/>
      </c>
      <c r="N54" s="17">
        <f>SUMIFS(Journal_Input!$K$8:$K$184,Journal_Input!$A$8:$A$184,"Current",Journal_Input!$G$8:$G$184,A54)</f>
        <v/>
      </c>
      <c r="O54" s="17">
        <f>SUMIFS(Journal_Input!$K$8:$K$184,Journal_Input!$A$8:$A$184,"Current",Journal_Input!$I$8:$I$184,A54)</f>
        <v/>
      </c>
      <c r="P54" s="17">
        <f>IF(G54="Dr",M54+N54-O54,M54-N54+O54)</f>
        <v/>
      </c>
      <c r="Q54" s="17">
        <f>IF(C54="BS",L54*H54,IF(G54="Dr",(J54-K54)*H54,(K54-J54)*H54))</f>
        <v/>
      </c>
      <c r="R54" s="17">
        <f>IF(C54="BS",P54*H54,IF(G54="Dr",(N54-O54)*H54,(O54-N54)*H54))</f>
        <v/>
      </c>
      <c r="S54" s="16">
        <f>COA_Master!K53</f>
        <v/>
      </c>
      <c r="T54" s="16">
        <f>COA_Master!L53</f>
        <v/>
      </c>
      <c r="U54" s="16">
        <f>COA_Master!N53</f>
        <v/>
      </c>
    </row>
    <row r="55" ht="18" customHeight="1">
      <c r="A55" s="16">
        <f>COA_Master!A54</f>
        <v/>
      </c>
      <c r="B55" s="16">
        <f>COA_Master!B54</f>
        <v/>
      </c>
      <c r="C55" s="16">
        <f>COA_Master!D54</f>
        <v/>
      </c>
      <c r="D55" s="16">
        <f>COA_Master!E54</f>
        <v/>
      </c>
      <c r="E55" s="16">
        <f>COA_Master!F54</f>
        <v/>
      </c>
      <c r="F55" s="16">
        <f>COA_Master!G54</f>
        <v/>
      </c>
      <c r="G55" s="16">
        <f>COA_Master!H54</f>
        <v/>
      </c>
      <c r="H55" s="16">
        <f>COA_Master!I54</f>
        <v/>
      </c>
      <c r="I55" s="17">
        <f>COA_Master!M54</f>
        <v/>
      </c>
      <c r="J55" s="17">
        <f>SUMIFS(Journal_Input!$K$8:$K$184,Journal_Input!$A$8:$A$184,"Prior",Journal_Input!$G$8:$G$184,A55)</f>
        <v/>
      </c>
      <c r="K55" s="17">
        <f>SUMIFS(Journal_Input!$K$8:$K$184,Journal_Input!$A$8:$A$184,"Prior",Journal_Input!$I$8:$I$184,A55)</f>
        <v/>
      </c>
      <c r="L55" s="17">
        <f>IF(G55="Dr",I55+J55-K55,I55-J55+K55)</f>
        <v/>
      </c>
      <c r="M55" s="17">
        <f>L55</f>
        <v/>
      </c>
      <c r="N55" s="17">
        <f>SUMIFS(Journal_Input!$K$8:$K$184,Journal_Input!$A$8:$A$184,"Current",Journal_Input!$G$8:$G$184,A55)</f>
        <v/>
      </c>
      <c r="O55" s="17">
        <f>SUMIFS(Journal_Input!$K$8:$K$184,Journal_Input!$A$8:$A$184,"Current",Journal_Input!$I$8:$I$184,A55)</f>
        <v/>
      </c>
      <c r="P55" s="17">
        <f>IF(G55="Dr",M55+N55-O55,M55-N55+O55)</f>
        <v/>
      </c>
      <c r="Q55" s="17">
        <f>IF(C55="BS",L55*H55,IF(G55="Dr",(J55-K55)*H55,(K55-J55)*H55))</f>
        <v/>
      </c>
      <c r="R55" s="17">
        <f>IF(C55="BS",P55*H55,IF(G55="Dr",(N55-O55)*H55,(O55-N55)*H55))</f>
        <v/>
      </c>
      <c r="S55" s="16">
        <f>COA_Master!K54</f>
        <v/>
      </c>
      <c r="T55" s="16">
        <f>COA_Master!L54</f>
        <v/>
      </c>
      <c r="U55" s="16">
        <f>COA_Master!N54</f>
        <v/>
      </c>
    </row>
    <row r="56" ht="18" customHeight="1">
      <c r="A56" s="16">
        <f>COA_Master!A55</f>
        <v/>
      </c>
      <c r="B56" s="16">
        <f>COA_Master!B55</f>
        <v/>
      </c>
      <c r="C56" s="16">
        <f>COA_Master!D55</f>
        <v/>
      </c>
      <c r="D56" s="16">
        <f>COA_Master!E55</f>
        <v/>
      </c>
      <c r="E56" s="16">
        <f>COA_Master!F55</f>
        <v/>
      </c>
      <c r="F56" s="16">
        <f>COA_Master!G55</f>
        <v/>
      </c>
      <c r="G56" s="16">
        <f>COA_Master!H55</f>
        <v/>
      </c>
      <c r="H56" s="16">
        <f>COA_Master!I55</f>
        <v/>
      </c>
      <c r="I56" s="17">
        <f>COA_Master!M55</f>
        <v/>
      </c>
      <c r="J56" s="17">
        <f>SUMIFS(Journal_Input!$K$8:$K$184,Journal_Input!$A$8:$A$184,"Prior",Journal_Input!$G$8:$G$184,A56)</f>
        <v/>
      </c>
      <c r="K56" s="17">
        <f>SUMIFS(Journal_Input!$K$8:$K$184,Journal_Input!$A$8:$A$184,"Prior",Journal_Input!$I$8:$I$184,A56)</f>
        <v/>
      </c>
      <c r="L56" s="17">
        <f>IF(G56="Dr",I56+J56-K56,I56-J56+K56)</f>
        <v/>
      </c>
      <c r="M56" s="17">
        <f>L56</f>
        <v/>
      </c>
      <c r="N56" s="17">
        <f>SUMIFS(Journal_Input!$K$8:$K$184,Journal_Input!$A$8:$A$184,"Current",Journal_Input!$G$8:$G$184,A56)</f>
        <v/>
      </c>
      <c r="O56" s="17">
        <f>SUMIFS(Journal_Input!$K$8:$K$184,Journal_Input!$A$8:$A$184,"Current",Journal_Input!$I$8:$I$184,A56)</f>
        <v/>
      </c>
      <c r="P56" s="17">
        <f>IF(G56="Dr",M56+N56-O56,M56-N56+O56)</f>
        <v/>
      </c>
      <c r="Q56" s="17">
        <f>IF(C56="BS",L56*H56,IF(G56="Dr",(J56-K56)*H56,(K56-J56)*H56))</f>
        <v/>
      </c>
      <c r="R56" s="17">
        <f>IF(C56="BS",P56*H56,IF(G56="Dr",(N56-O56)*H56,(O56-N56)*H56))</f>
        <v/>
      </c>
      <c r="S56" s="16">
        <f>COA_Master!K55</f>
        <v/>
      </c>
      <c r="T56" s="16">
        <f>COA_Master!L55</f>
        <v/>
      </c>
      <c r="U56" s="16">
        <f>COA_Master!N55</f>
        <v/>
      </c>
    </row>
    <row r="57" ht="18" customHeight="1">
      <c r="A57" s="16">
        <f>COA_Master!A56</f>
        <v/>
      </c>
      <c r="B57" s="16">
        <f>COA_Master!B56</f>
        <v/>
      </c>
      <c r="C57" s="16">
        <f>COA_Master!D56</f>
        <v/>
      </c>
      <c r="D57" s="16">
        <f>COA_Master!E56</f>
        <v/>
      </c>
      <c r="E57" s="16">
        <f>COA_Master!F56</f>
        <v/>
      </c>
      <c r="F57" s="16">
        <f>COA_Master!G56</f>
        <v/>
      </c>
      <c r="G57" s="16">
        <f>COA_Master!H56</f>
        <v/>
      </c>
      <c r="H57" s="16">
        <f>COA_Master!I56</f>
        <v/>
      </c>
      <c r="I57" s="17">
        <f>COA_Master!M56</f>
        <v/>
      </c>
      <c r="J57" s="17">
        <f>SUMIFS(Journal_Input!$K$8:$K$184,Journal_Input!$A$8:$A$184,"Prior",Journal_Input!$G$8:$G$184,A57)</f>
        <v/>
      </c>
      <c r="K57" s="17">
        <f>SUMIFS(Journal_Input!$K$8:$K$184,Journal_Input!$A$8:$A$184,"Prior",Journal_Input!$I$8:$I$184,A57)</f>
        <v/>
      </c>
      <c r="L57" s="17">
        <f>IF(G57="Dr",I57+J57-K57,I57-J57+K57)</f>
        <v/>
      </c>
      <c r="M57" s="17">
        <f>L57</f>
        <v/>
      </c>
      <c r="N57" s="17">
        <f>SUMIFS(Journal_Input!$K$8:$K$184,Journal_Input!$A$8:$A$184,"Current",Journal_Input!$G$8:$G$184,A57)</f>
        <v/>
      </c>
      <c r="O57" s="17">
        <f>SUMIFS(Journal_Input!$K$8:$K$184,Journal_Input!$A$8:$A$184,"Current",Journal_Input!$I$8:$I$184,A57)</f>
        <v/>
      </c>
      <c r="P57" s="17">
        <f>IF(G57="Dr",M57+N57-O57,M57-N57+O57)</f>
        <v/>
      </c>
      <c r="Q57" s="17">
        <f>IF(C57="BS",L57*H57,IF(G57="Dr",(J57-K57)*H57,(K57-J57)*H57))</f>
        <v/>
      </c>
      <c r="R57" s="17">
        <f>IF(C57="BS",P57*H57,IF(G57="Dr",(N57-O57)*H57,(O57-N57)*H57))</f>
        <v/>
      </c>
      <c r="S57" s="16">
        <f>COA_Master!K56</f>
        <v/>
      </c>
      <c r="T57" s="16">
        <f>COA_Master!L56</f>
        <v/>
      </c>
      <c r="U57" s="16">
        <f>COA_Master!N56</f>
        <v/>
      </c>
    </row>
    <row r="58" ht="18" customHeight="1">
      <c r="A58" s="16">
        <f>COA_Master!A57</f>
        <v/>
      </c>
      <c r="B58" s="16">
        <f>COA_Master!B57</f>
        <v/>
      </c>
      <c r="C58" s="16">
        <f>COA_Master!D57</f>
        <v/>
      </c>
      <c r="D58" s="16">
        <f>COA_Master!E57</f>
        <v/>
      </c>
      <c r="E58" s="16">
        <f>COA_Master!F57</f>
        <v/>
      </c>
      <c r="F58" s="16">
        <f>COA_Master!G57</f>
        <v/>
      </c>
      <c r="G58" s="16">
        <f>COA_Master!H57</f>
        <v/>
      </c>
      <c r="H58" s="16">
        <f>COA_Master!I57</f>
        <v/>
      </c>
      <c r="I58" s="17">
        <f>COA_Master!M57</f>
        <v/>
      </c>
      <c r="J58" s="17">
        <f>SUMIFS(Journal_Input!$K$8:$K$184,Journal_Input!$A$8:$A$184,"Prior",Journal_Input!$G$8:$G$184,A58)</f>
        <v/>
      </c>
      <c r="K58" s="17">
        <f>SUMIFS(Journal_Input!$K$8:$K$184,Journal_Input!$A$8:$A$184,"Prior",Journal_Input!$I$8:$I$184,A58)</f>
        <v/>
      </c>
      <c r="L58" s="17">
        <f>IF(G58="Dr",I58+J58-K58,I58-J58+K58)</f>
        <v/>
      </c>
      <c r="M58" s="17">
        <f>L58</f>
        <v/>
      </c>
      <c r="N58" s="17">
        <f>SUMIFS(Journal_Input!$K$8:$K$184,Journal_Input!$A$8:$A$184,"Current",Journal_Input!$G$8:$G$184,A58)</f>
        <v/>
      </c>
      <c r="O58" s="17">
        <f>SUMIFS(Journal_Input!$K$8:$K$184,Journal_Input!$A$8:$A$184,"Current",Journal_Input!$I$8:$I$184,A58)</f>
        <v/>
      </c>
      <c r="P58" s="17">
        <f>IF(G58="Dr",M58+N58-O58,M58-N58+O58)</f>
        <v/>
      </c>
      <c r="Q58" s="17">
        <f>IF(C58="BS",L58*H58,IF(G58="Dr",(J58-K58)*H58,(K58-J58)*H58))</f>
        <v/>
      </c>
      <c r="R58" s="17">
        <f>IF(C58="BS",P58*H58,IF(G58="Dr",(N58-O58)*H58,(O58-N58)*H58))</f>
        <v/>
      </c>
      <c r="S58" s="16">
        <f>COA_Master!K57</f>
        <v/>
      </c>
      <c r="T58" s="16">
        <f>COA_Master!L57</f>
        <v/>
      </c>
      <c r="U58" s="16">
        <f>COA_Master!N57</f>
        <v/>
      </c>
    </row>
    <row r="59" ht="18" customHeight="1">
      <c r="A59" s="16">
        <f>COA_Master!A58</f>
        <v/>
      </c>
      <c r="B59" s="16">
        <f>COA_Master!B58</f>
        <v/>
      </c>
      <c r="C59" s="16">
        <f>COA_Master!D58</f>
        <v/>
      </c>
      <c r="D59" s="16">
        <f>COA_Master!E58</f>
        <v/>
      </c>
      <c r="E59" s="16">
        <f>COA_Master!F58</f>
        <v/>
      </c>
      <c r="F59" s="16">
        <f>COA_Master!G58</f>
        <v/>
      </c>
      <c r="G59" s="16">
        <f>COA_Master!H58</f>
        <v/>
      </c>
      <c r="H59" s="16">
        <f>COA_Master!I58</f>
        <v/>
      </c>
      <c r="I59" s="17">
        <f>COA_Master!M58</f>
        <v/>
      </c>
      <c r="J59" s="17">
        <f>SUMIFS(Journal_Input!$K$8:$K$184,Journal_Input!$A$8:$A$184,"Prior",Journal_Input!$G$8:$G$184,A59)</f>
        <v/>
      </c>
      <c r="K59" s="17">
        <f>SUMIFS(Journal_Input!$K$8:$K$184,Journal_Input!$A$8:$A$184,"Prior",Journal_Input!$I$8:$I$184,A59)</f>
        <v/>
      </c>
      <c r="L59" s="17">
        <f>IF(G59="Dr",I59+J59-K59,I59-J59+K59)</f>
        <v/>
      </c>
      <c r="M59" s="17">
        <f>L59</f>
        <v/>
      </c>
      <c r="N59" s="17">
        <f>SUMIFS(Journal_Input!$K$8:$K$184,Journal_Input!$A$8:$A$184,"Current",Journal_Input!$G$8:$G$184,A59)</f>
        <v/>
      </c>
      <c r="O59" s="17">
        <f>SUMIFS(Journal_Input!$K$8:$K$184,Journal_Input!$A$8:$A$184,"Current",Journal_Input!$I$8:$I$184,A59)</f>
        <v/>
      </c>
      <c r="P59" s="17">
        <f>IF(G59="Dr",M59+N59-O59,M59-N59+O59)</f>
        <v/>
      </c>
      <c r="Q59" s="17">
        <f>IF(C59="BS",L59*H59,IF(G59="Dr",(J59-K59)*H59,(K59-J59)*H59))</f>
        <v/>
      </c>
      <c r="R59" s="17">
        <f>IF(C59="BS",P59*H59,IF(G59="Dr",(N59-O59)*H59,(O59-N59)*H59))</f>
        <v/>
      </c>
      <c r="S59" s="16">
        <f>COA_Master!K58</f>
        <v/>
      </c>
      <c r="T59" s="16">
        <f>COA_Master!L58</f>
        <v/>
      </c>
      <c r="U59" s="16">
        <f>COA_Master!N58</f>
        <v/>
      </c>
    </row>
    <row r="60" ht="18" customHeight="1">
      <c r="A60" s="16">
        <f>COA_Master!A59</f>
        <v/>
      </c>
      <c r="B60" s="16">
        <f>COA_Master!B59</f>
        <v/>
      </c>
      <c r="C60" s="16">
        <f>COA_Master!D59</f>
        <v/>
      </c>
      <c r="D60" s="16">
        <f>COA_Master!E59</f>
        <v/>
      </c>
      <c r="E60" s="16">
        <f>COA_Master!F59</f>
        <v/>
      </c>
      <c r="F60" s="16">
        <f>COA_Master!G59</f>
        <v/>
      </c>
      <c r="G60" s="16">
        <f>COA_Master!H59</f>
        <v/>
      </c>
      <c r="H60" s="16">
        <f>COA_Master!I59</f>
        <v/>
      </c>
      <c r="I60" s="17">
        <f>COA_Master!M59</f>
        <v/>
      </c>
      <c r="J60" s="17">
        <f>SUMIFS(Journal_Input!$K$8:$K$184,Journal_Input!$A$8:$A$184,"Prior",Journal_Input!$G$8:$G$184,A60)</f>
        <v/>
      </c>
      <c r="K60" s="17">
        <f>SUMIFS(Journal_Input!$K$8:$K$184,Journal_Input!$A$8:$A$184,"Prior",Journal_Input!$I$8:$I$184,A60)</f>
        <v/>
      </c>
      <c r="L60" s="17">
        <f>IF(G60="Dr",I60+J60-K60,I60-J60+K60)</f>
        <v/>
      </c>
      <c r="M60" s="17">
        <f>L60</f>
        <v/>
      </c>
      <c r="N60" s="17">
        <f>SUMIFS(Journal_Input!$K$8:$K$184,Journal_Input!$A$8:$A$184,"Current",Journal_Input!$G$8:$G$184,A60)</f>
        <v/>
      </c>
      <c r="O60" s="17">
        <f>SUMIFS(Journal_Input!$K$8:$K$184,Journal_Input!$A$8:$A$184,"Current",Journal_Input!$I$8:$I$184,A60)</f>
        <v/>
      </c>
      <c r="P60" s="17">
        <f>IF(G60="Dr",M60+N60-O60,M60-N60+O60)</f>
        <v/>
      </c>
      <c r="Q60" s="17">
        <f>IF(C60="BS",L60*H60,IF(G60="Dr",(J60-K60)*H60,(K60-J60)*H60))</f>
        <v/>
      </c>
      <c r="R60" s="17">
        <f>IF(C60="BS",P60*H60,IF(G60="Dr",(N60-O60)*H60,(O60-N60)*H60))</f>
        <v/>
      </c>
      <c r="S60" s="16">
        <f>COA_Master!K59</f>
        <v/>
      </c>
      <c r="T60" s="16">
        <f>COA_Master!L59</f>
        <v/>
      </c>
      <c r="U60" s="16">
        <f>COA_Master!N59</f>
        <v/>
      </c>
    </row>
    <row r="61" ht="18" customHeight="1">
      <c r="A61" s="16">
        <f>COA_Master!A60</f>
        <v/>
      </c>
      <c r="B61" s="16">
        <f>COA_Master!B60</f>
        <v/>
      </c>
      <c r="C61" s="16">
        <f>COA_Master!D60</f>
        <v/>
      </c>
      <c r="D61" s="16">
        <f>COA_Master!E60</f>
        <v/>
      </c>
      <c r="E61" s="16">
        <f>COA_Master!F60</f>
        <v/>
      </c>
      <c r="F61" s="16">
        <f>COA_Master!G60</f>
        <v/>
      </c>
      <c r="G61" s="16">
        <f>COA_Master!H60</f>
        <v/>
      </c>
      <c r="H61" s="16">
        <f>COA_Master!I60</f>
        <v/>
      </c>
      <c r="I61" s="17">
        <f>COA_Master!M60</f>
        <v/>
      </c>
      <c r="J61" s="17">
        <f>SUMIFS(Journal_Input!$K$8:$K$184,Journal_Input!$A$8:$A$184,"Prior",Journal_Input!$G$8:$G$184,A61)</f>
        <v/>
      </c>
      <c r="K61" s="17">
        <f>SUMIFS(Journal_Input!$K$8:$K$184,Journal_Input!$A$8:$A$184,"Prior",Journal_Input!$I$8:$I$184,A61)</f>
        <v/>
      </c>
      <c r="L61" s="17">
        <f>IF(G61="Dr",I61+J61-K61,I61-J61+K61)</f>
        <v/>
      </c>
      <c r="M61" s="17">
        <f>L61</f>
        <v/>
      </c>
      <c r="N61" s="17">
        <f>SUMIFS(Journal_Input!$K$8:$K$184,Journal_Input!$A$8:$A$184,"Current",Journal_Input!$G$8:$G$184,A61)</f>
        <v/>
      </c>
      <c r="O61" s="17">
        <f>SUMIFS(Journal_Input!$K$8:$K$184,Journal_Input!$A$8:$A$184,"Current",Journal_Input!$I$8:$I$184,A61)</f>
        <v/>
      </c>
      <c r="P61" s="17">
        <f>IF(G61="Dr",M61+N61-O61,M61-N61+O61)</f>
        <v/>
      </c>
      <c r="Q61" s="17">
        <f>IF(C61="BS",L61*H61,IF(G61="Dr",(J61-K61)*H61,(K61-J61)*H61))</f>
        <v/>
      </c>
      <c r="R61" s="17">
        <f>IF(C61="BS",P61*H61,IF(G61="Dr",(N61-O61)*H61,(O61-N61)*H61))</f>
        <v/>
      </c>
      <c r="S61" s="16">
        <f>COA_Master!K60</f>
        <v/>
      </c>
      <c r="T61" s="16">
        <f>COA_Master!L60</f>
        <v/>
      </c>
      <c r="U61" s="16">
        <f>COA_Master!N60</f>
        <v/>
      </c>
    </row>
    <row r="62" ht="18" customHeight="1">
      <c r="A62" s="16">
        <f>COA_Master!A61</f>
        <v/>
      </c>
      <c r="B62" s="16">
        <f>COA_Master!B61</f>
        <v/>
      </c>
      <c r="C62" s="16">
        <f>COA_Master!D61</f>
        <v/>
      </c>
      <c r="D62" s="16">
        <f>COA_Master!E61</f>
        <v/>
      </c>
      <c r="E62" s="16">
        <f>COA_Master!F61</f>
        <v/>
      </c>
      <c r="F62" s="16">
        <f>COA_Master!G61</f>
        <v/>
      </c>
      <c r="G62" s="16">
        <f>COA_Master!H61</f>
        <v/>
      </c>
      <c r="H62" s="16">
        <f>COA_Master!I61</f>
        <v/>
      </c>
      <c r="I62" s="17">
        <f>COA_Master!M61</f>
        <v/>
      </c>
      <c r="J62" s="17">
        <f>SUMIFS(Journal_Input!$K$8:$K$184,Journal_Input!$A$8:$A$184,"Prior",Journal_Input!$G$8:$G$184,A62)</f>
        <v/>
      </c>
      <c r="K62" s="17">
        <f>SUMIFS(Journal_Input!$K$8:$K$184,Journal_Input!$A$8:$A$184,"Prior",Journal_Input!$I$8:$I$184,A62)</f>
        <v/>
      </c>
      <c r="L62" s="17">
        <f>IF(G62="Dr",I62+J62-K62,I62-J62+K62)</f>
        <v/>
      </c>
      <c r="M62" s="17">
        <f>L62</f>
        <v/>
      </c>
      <c r="N62" s="17">
        <f>SUMIFS(Journal_Input!$K$8:$K$184,Journal_Input!$A$8:$A$184,"Current",Journal_Input!$G$8:$G$184,A62)</f>
        <v/>
      </c>
      <c r="O62" s="17">
        <f>SUMIFS(Journal_Input!$K$8:$K$184,Journal_Input!$A$8:$A$184,"Current",Journal_Input!$I$8:$I$184,A62)</f>
        <v/>
      </c>
      <c r="P62" s="17">
        <f>IF(G62="Dr",M62+N62-O62,M62-N62+O62)</f>
        <v/>
      </c>
      <c r="Q62" s="17">
        <f>IF(C62="BS",L62*H62,IF(G62="Dr",(J62-K62)*H62,(K62-J62)*H62))</f>
        <v/>
      </c>
      <c r="R62" s="17">
        <f>IF(C62="BS",P62*H62,IF(G62="Dr",(N62-O62)*H62,(O62-N62)*H62))</f>
        <v/>
      </c>
      <c r="S62" s="16">
        <f>COA_Master!K61</f>
        <v/>
      </c>
      <c r="T62" s="16">
        <f>COA_Master!L61</f>
        <v/>
      </c>
      <c r="U62" s="16">
        <f>COA_Master!N61</f>
        <v/>
      </c>
    </row>
    <row r="63" ht="18" customHeight="1">
      <c r="A63" s="16">
        <f>COA_Master!A62</f>
        <v/>
      </c>
      <c r="B63" s="16">
        <f>COA_Master!B62</f>
        <v/>
      </c>
      <c r="C63" s="16">
        <f>COA_Master!D62</f>
        <v/>
      </c>
      <c r="D63" s="16">
        <f>COA_Master!E62</f>
        <v/>
      </c>
      <c r="E63" s="16">
        <f>COA_Master!F62</f>
        <v/>
      </c>
      <c r="F63" s="16">
        <f>COA_Master!G62</f>
        <v/>
      </c>
      <c r="G63" s="16">
        <f>COA_Master!H62</f>
        <v/>
      </c>
      <c r="H63" s="16">
        <f>COA_Master!I62</f>
        <v/>
      </c>
      <c r="I63" s="17">
        <f>COA_Master!M62</f>
        <v/>
      </c>
      <c r="J63" s="17">
        <f>SUMIFS(Journal_Input!$K$8:$K$184,Journal_Input!$A$8:$A$184,"Prior",Journal_Input!$G$8:$G$184,A63)</f>
        <v/>
      </c>
      <c r="K63" s="17">
        <f>SUMIFS(Journal_Input!$K$8:$K$184,Journal_Input!$A$8:$A$184,"Prior",Journal_Input!$I$8:$I$184,A63)</f>
        <v/>
      </c>
      <c r="L63" s="17">
        <f>IF(G63="Dr",I63+J63-K63,I63-J63+K63)</f>
        <v/>
      </c>
      <c r="M63" s="17">
        <f>L63</f>
        <v/>
      </c>
      <c r="N63" s="17">
        <f>SUMIFS(Journal_Input!$K$8:$K$184,Journal_Input!$A$8:$A$184,"Current",Journal_Input!$G$8:$G$184,A63)</f>
        <v/>
      </c>
      <c r="O63" s="17">
        <f>SUMIFS(Journal_Input!$K$8:$K$184,Journal_Input!$A$8:$A$184,"Current",Journal_Input!$I$8:$I$184,A63)</f>
        <v/>
      </c>
      <c r="P63" s="17">
        <f>IF(G63="Dr",M63+N63-O63,M63-N63+O63)</f>
        <v/>
      </c>
      <c r="Q63" s="17">
        <f>IF(C63="BS",L63*H63,IF(G63="Dr",(J63-K63)*H63,(K63-J63)*H63))</f>
        <v/>
      </c>
      <c r="R63" s="17">
        <f>IF(C63="BS",P63*H63,IF(G63="Dr",(N63-O63)*H63,(O63-N63)*H63))</f>
        <v/>
      </c>
      <c r="S63" s="16">
        <f>COA_Master!K62</f>
        <v/>
      </c>
      <c r="T63" s="16">
        <f>COA_Master!L62</f>
        <v/>
      </c>
      <c r="U63" s="16">
        <f>COA_Master!N62</f>
        <v/>
      </c>
    </row>
    <row r="64" ht="18" customHeight="1">
      <c r="A64" s="16">
        <f>COA_Master!A63</f>
        <v/>
      </c>
      <c r="B64" s="16">
        <f>COA_Master!B63</f>
        <v/>
      </c>
      <c r="C64" s="16">
        <f>COA_Master!D63</f>
        <v/>
      </c>
      <c r="D64" s="16">
        <f>COA_Master!E63</f>
        <v/>
      </c>
      <c r="E64" s="16">
        <f>COA_Master!F63</f>
        <v/>
      </c>
      <c r="F64" s="16">
        <f>COA_Master!G63</f>
        <v/>
      </c>
      <c r="G64" s="16">
        <f>COA_Master!H63</f>
        <v/>
      </c>
      <c r="H64" s="16">
        <f>COA_Master!I63</f>
        <v/>
      </c>
      <c r="I64" s="17">
        <f>COA_Master!M63</f>
        <v/>
      </c>
      <c r="J64" s="17">
        <f>SUMIFS(Journal_Input!$K$8:$K$184,Journal_Input!$A$8:$A$184,"Prior",Journal_Input!$G$8:$G$184,A64)</f>
        <v/>
      </c>
      <c r="K64" s="17">
        <f>SUMIFS(Journal_Input!$K$8:$K$184,Journal_Input!$A$8:$A$184,"Prior",Journal_Input!$I$8:$I$184,A64)</f>
        <v/>
      </c>
      <c r="L64" s="17">
        <f>IF(G64="Dr",I64+J64-K64,I64-J64+K64)</f>
        <v/>
      </c>
      <c r="M64" s="17">
        <f>L64</f>
        <v/>
      </c>
      <c r="N64" s="17">
        <f>SUMIFS(Journal_Input!$K$8:$K$184,Journal_Input!$A$8:$A$184,"Current",Journal_Input!$G$8:$G$184,A64)</f>
        <v/>
      </c>
      <c r="O64" s="17">
        <f>SUMIFS(Journal_Input!$K$8:$K$184,Journal_Input!$A$8:$A$184,"Current",Journal_Input!$I$8:$I$184,A64)</f>
        <v/>
      </c>
      <c r="P64" s="17">
        <f>IF(G64="Dr",M64+N64-O64,M64-N64+O64)</f>
        <v/>
      </c>
      <c r="Q64" s="17">
        <f>IF(C64="BS",L64*H64,IF(G64="Dr",(J64-K64)*H64,(K64-J64)*H64))</f>
        <v/>
      </c>
      <c r="R64" s="17">
        <f>IF(C64="BS",P64*H64,IF(G64="Dr",(N64-O64)*H64,(O64-N64)*H64))</f>
        <v/>
      </c>
      <c r="S64" s="16">
        <f>COA_Master!K63</f>
        <v/>
      </c>
      <c r="T64" s="16">
        <f>COA_Master!L63</f>
        <v/>
      </c>
      <c r="U64" s="16">
        <f>COA_Master!N63</f>
        <v/>
      </c>
    </row>
    <row r="65" ht="18" customHeight="1">
      <c r="A65" s="16">
        <f>COA_Master!A64</f>
        <v/>
      </c>
      <c r="B65" s="16">
        <f>COA_Master!B64</f>
        <v/>
      </c>
      <c r="C65" s="16">
        <f>COA_Master!D64</f>
        <v/>
      </c>
      <c r="D65" s="16">
        <f>COA_Master!E64</f>
        <v/>
      </c>
      <c r="E65" s="16">
        <f>COA_Master!F64</f>
        <v/>
      </c>
      <c r="F65" s="16">
        <f>COA_Master!G64</f>
        <v/>
      </c>
      <c r="G65" s="16">
        <f>COA_Master!H64</f>
        <v/>
      </c>
      <c r="H65" s="16">
        <f>COA_Master!I64</f>
        <v/>
      </c>
      <c r="I65" s="17">
        <f>COA_Master!M64</f>
        <v/>
      </c>
      <c r="J65" s="17">
        <f>SUMIFS(Journal_Input!$K$8:$K$184,Journal_Input!$A$8:$A$184,"Prior",Journal_Input!$G$8:$G$184,A65)</f>
        <v/>
      </c>
      <c r="K65" s="17">
        <f>SUMIFS(Journal_Input!$K$8:$K$184,Journal_Input!$A$8:$A$184,"Prior",Journal_Input!$I$8:$I$184,A65)</f>
        <v/>
      </c>
      <c r="L65" s="17">
        <f>IF(G65="Dr",I65+J65-K65,I65-J65+K65)</f>
        <v/>
      </c>
      <c r="M65" s="17">
        <f>L65</f>
        <v/>
      </c>
      <c r="N65" s="17">
        <f>SUMIFS(Journal_Input!$K$8:$K$184,Journal_Input!$A$8:$A$184,"Current",Journal_Input!$G$8:$G$184,A65)</f>
        <v/>
      </c>
      <c r="O65" s="17">
        <f>SUMIFS(Journal_Input!$K$8:$K$184,Journal_Input!$A$8:$A$184,"Current",Journal_Input!$I$8:$I$184,A65)</f>
        <v/>
      </c>
      <c r="P65" s="17">
        <f>IF(G65="Dr",M65+N65-O65,M65-N65+O65)</f>
        <v/>
      </c>
      <c r="Q65" s="17">
        <f>IF(C65="BS",L65*H65,IF(G65="Dr",(J65-K65)*H65,(K65-J65)*H65))</f>
        <v/>
      </c>
      <c r="R65" s="17">
        <f>IF(C65="BS",P65*H65,IF(G65="Dr",(N65-O65)*H65,(O65-N65)*H65))</f>
        <v/>
      </c>
      <c r="S65" s="16">
        <f>COA_Master!K64</f>
        <v/>
      </c>
      <c r="T65" s="16">
        <f>COA_Master!L64</f>
        <v/>
      </c>
      <c r="U65" s="16">
        <f>COA_Master!N64</f>
        <v/>
      </c>
    </row>
    <row r="66" ht="18" customHeight="1">
      <c r="A66" s="16">
        <f>COA_Master!A65</f>
        <v/>
      </c>
      <c r="B66" s="16">
        <f>COA_Master!B65</f>
        <v/>
      </c>
      <c r="C66" s="16">
        <f>COA_Master!D65</f>
        <v/>
      </c>
      <c r="D66" s="16">
        <f>COA_Master!E65</f>
        <v/>
      </c>
      <c r="E66" s="16">
        <f>COA_Master!F65</f>
        <v/>
      </c>
      <c r="F66" s="16">
        <f>COA_Master!G65</f>
        <v/>
      </c>
      <c r="G66" s="16">
        <f>COA_Master!H65</f>
        <v/>
      </c>
      <c r="H66" s="16">
        <f>COA_Master!I65</f>
        <v/>
      </c>
      <c r="I66" s="17">
        <f>COA_Master!M65</f>
        <v/>
      </c>
      <c r="J66" s="17">
        <f>SUMIFS(Journal_Input!$K$8:$K$184,Journal_Input!$A$8:$A$184,"Prior",Journal_Input!$G$8:$G$184,A66)</f>
        <v/>
      </c>
      <c r="K66" s="17">
        <f>SUMIFS(Journal_Input!$K$8:$K$184,Journal_Input!$A$8:$A$184,"Prior",Journal_Input!$I$8:$I$184,A66)</f>
        <v/>
      </c>
      <c r="L66" s="17">
        <f>IF(G66="Dr",I66+J66-K66,I66-J66+K66)</f>
        <v/>
      </c>
      <c r="M66" s="17">
        <f>L66</f>
        <v/>
      </c>
      <c r="N66" s="17">
        <f>SUMIFS(Journal_Input!$K$8:$K$184,Journal_Input!$A$8:$A$184,"Current",Journal_Input!$G$8:$G$184,A66)</f>
        <v/>
      </c>
      <c r="O66" s="17">
        <f>SUMIFS(Journal_Input!$K$8:$K$184,Journal_Input!$A$8:$A$184,"Current",Journal_Input!$I$8:$I$184,A66)</f>
        <v/>
      </c>
      <c r="P66" s="17">
        <f>IF(G66="Dr",M66+N66-O66,M66-N66+O66)</f>
        <v/>
      </c>
      <c r="Q66" s="17">
        <f>IF(C66="BS",L66*H66,IF(G66="Dr",(J66-K66)*H66,(K66-J66)*H66))</f>
        <v/>
      </c>
      <c r="R66" s="17">
        <f>IF(C66="BS",P66*H66,IF(G66="Dr",(N66-O66)*H66,(O66-N66)*H66))</f>
        <v/>
      </c>
      <c r="S66" s="16">
        <f>COA_Master!K65</f>
        <v/>
      </c>
      <c r="T66" s="16">
        <f>COA_Master!L65</f>
        <v/>
      </c>
      <c r="U66" s="16">
        <f>COA_Master!N65</f>
        <v/>
      </c>
    </row>
    <row r="67" ht="18" customHeight="1">
      <c r="A67" s="16">
        <f>COA_Master!A66</f>
        <v/>
      </c>
      <c r="B67" s="16">
        <f>COA_Master!B66</f>
        <v/>
      </c>
      <c r="C67" s="16">
        <f>COA_Master!D66</f>
        <v/>
      </c>
      <c r="D67" s="16">
        <f>COA_Master!E66</f>
        <v/>
      </c>
      <c r="E67" s="16">
        <f>COA_Master!F66</f>
        <v/>
      </c>
      <c r="F67" s="16">
        <f>COA_Master!G66</f>
        <v/>
      </c>
      <c r="G67" s="16">
        <f>COA_Master!H66</f>
        <v/>
      </c>
      <c r="H67" s="16">
        <f>COA_Master!I66</f>
        <v/>
      </c>
      <c r="I67" s="17">
        <f>COA_Master!M66</f>
        <v/>
      </c>
      <c r="J67" s="17">
        <f>SUMIFS(Journal_Input!$K$8:$K$184,Journal_Input!$A$8:$A$184,"Prior",Journal_Input!$G$8:$G$184,A67)</f>
        <v/>
      </c>
      <c r="K67" s="17">
        <f>SUMIFS(Journal_Input!$K$8:$K$184,Journal_Input!$A$8:$A$184,"Prior",Journal_Input!$I$8:$I$184,A67)</f>
        <v/>
      </c>
      <c r="L67" s="17">
        <f>IF(G67="Dr",I67+J67-K67,I67-J67+K67)</f>
        <v/>
      </c>
      <c r="M67" s="17">
        <f>L67</f>
        <v/>
      </c>
      <c r="N67" s="17">
        <f>SUMIFS(Journal_Input!$K$8:$K$184,Journal_Input!$A$8:$A$184,"Current",Journal_Input!$G$8:$G$184,A67)</f>
        <v/>
      </c>
      <c r="O67" s="17">
        <f>SUMIFS(Journal_Input!$K$8:$K$184,Journal_Input!$A$8:$A$184,"Current",Journal_Input!$I$8:$I$184,A67)</f>
        <v/>
      </c>
      <c r="P67" s="17">
        <f>IF(G67="Dr",M67+N67-O67,M67-N67+O67)</f>
        <v/>
      </c>
      <c r="Q67" s="17">
        <f>IF(C67="BS",L67*H67,IF(G67="Dr",(J67-K67)*H67,(K67-J67)*H67))</f>
        <v/>
      </c>
      <c r="R67" s="17">
        <f>IF(C67="BS",P67*H67,IF(G67="Dr",(N67-O67)*H67,(O67-N67)*H67))</f>
        <v/>
      </c>
      <c r="S67" s="16">
        <f>COA_Master!K66</f>
        <v/>
      </c>
      <c r="T67" s="16">
        <f>COA_Master!L66</f>
        <v/>
      </c>
      <c r="U67" s="16">
        <f>COA_Master!N66</f>
        <v/>
      </c>
    </row>
    <row r="68" ht="18" customHeight="1">
      <c r="A68" s="16">
        <f>COA_Master!A67</f>
        <v/>
      </c>
      <c r="B68" s="16">
        <f>COA_Master!B67</f>
        <v/>
      </c>
      <c r="C68" s="16">
        <f>COA_Master!D67</f>
        <v/>
      </c>
      <c r="D68" s="16">
        <f>COA_Master!E67</f>
        <v/>
      </c>
      <c r="E68" s="16">
        <f>COA_Master!F67</f>
        <v/>
      </c>
      <c r="F68" s="16">
        <f>COA_Master!G67</f>
        <v/>
      </c>
      <c r="G68" s="16">
        <f>COA_Master!H67</f>
        <v/>
      </c>
      <c r="H68" s="16">
        <f>COA_Master!I67</f>
        <v/>
      </c>
      <c r="I68" s="17">
        <f>COA_Master!M67</f>
        <v/>
      </c>
      <c r="J68" s="17">
        <f>SUMIFS(Journal_Input!$K$8:$K$184,Journal_Input!$A$8:$A$184,"Prior",Journal_Input!$G$8:$G$184,A68)</f>
        <v/>
      </c>
      <c r="K68" s="17">
        <f>SUMIFS(Journal_Input!$K$8:$K$184,Journal_Input!$A$8:$A$184,"Prior",Journal_Input!$I$8:$I$184,A68)</f>
        <v/>
      </c>
      <c r="L68" s="17">
        <f>IF(G68="Dr",I68+J68-K68,I68-J68+K68)</f>
        <v/>
      </c>
      <c r="M68" s="17">
        <f>L68</f>
        <v/>
      </c>
      <c r="N68" s="17">
        <f>SUMIFS(Journal_Input!$K$8:$K$184,Journal_Input!$A$8:$A$184,"Current",Journal_Input!$G$8:$G$184,A68)</f>
        <v/>
      </c>
      <c r="O68" s="17">
        <f>SUMIFS(Journal_Input!$K$8:$K$184,Journal_Input!$A$8:$A$184,"Current",Journal_Input!$I$8:$I$184,A68)</f>
        <v/>
      </c>
      <c r="P68" s="17">
        <f>IF(G68="Dr",M68+N68-O68,M68-N68+O68)</f>
        <v/>
      </c>
      <c r="Q68" s="17">
        <f>IF(C68="BS",L68*H68,IF(G68="Dr",(J68-K68)*H68,(K68-J68)*H68))</f>
        <v/>
      </c>
      <c r="R68" s="17">
        <f>IF(C68="BS",P68*H68,IF(G68="Dr",(N68-O68)*H68,(O68-N68)*H68))</f>
        <v/>
      </c>
      <c r="S68" s="16">
        <f>COA_Master!K67</f>
        <v/>
      </c>
      <c r="T68" s="16">
        <f>COA_Master!L67</f>
        <v/>
      </c>
      <c r="U68" s="16">
        <f>COA_Master!N67</f>
        <v/>
      </c>
    </row>
    <row r="69" ht="18" customHeight="1">
      <c r="A69" s="16">
        <f>COA_Master!A68</f>
        <v/>
      </c>
      <c r="B69" s="16">
        <f>COA_Master!B68</f>
        <v/>
      </c>
      <c r="C69" s="16">
        <f>COA_Master!D68</f>
        <v/>
      </c>
      <c r="D69" s="16">
        <f>COA_Master!E68</f>
        <v/>
      </c>
      <c r="E69" s="16">
        <f>COA_Master!F68</f>
        <v/>
      </c>
      <c r="F69" s="16">
        <f>COA_Master!G68</f>
        <v/>
      </c>
      <c r="G69" s="16">
        <f>COA_Master!H68</f>
        <v/>
      </c>
      <c r="H69" s="16">
        <f>COA_Master!I68</f>
        <v/>
      </c>
      <c r="I69" s="17">
        <f>COA_Master!M68</f>
        <v/>
      </c>
      <c r="J69" s="17">
        <f>SUMIFS(Journal_Input!$K$8:$K$184,Journal_Input!$A$8:$A$184,"Prior",Journal_Input!$G$8:$G$184,A69)</f>
        <v/>
      </c>
      <c r="K69" s="17">
        <f>SUMIFS(Journal_Input!$K$8:$K$184,Journal_Input!$A$8:$A$184,"Prior",Journal_Input!$I$8:$I$184,A69)</f>
        <v/>
      </c>
      <c r="L69" s="17">
        <f>IF(G69="Dr",I69+J69-K69,I69-J69+K69)</f>
        <v/>
      </c>
      <c r="M69" s="17">
        <f>L69</f>
        <v/>
      </c>
      <c r="N69" s="17">
        <f>SUMIFS(Journal_Input!$K$8:$K$184,Journal_Input!$A$8:$A$184,"Current",Journal_Input!$G$8:$G$184,A69)</f>
        <v/>
      </c>
      <c r="O69" s="17">
        <f>SUMIFS(Journal_Input!$K$8:$K$184,Journal_Input!$A$8:$A$184,"Current",Journal_Input!$I$8:$I$184,A69)</f>
        <v/>
      </c>
      <c r="P69" s="17">
        <f>IF(G69="Dr",M69+N69-O69,M69-N69+O69)</f>
        <v/>
      </c>
      <c r="Q69" s="17">
        <f>IF(C69="BS",L69*H69,IF(G69="Dr",(J69-K69)*H69,(K69-J69)*H69))</f>
        <v/>
      </c>
      <c r="R69" s="17">
        <f>IF(C69="BS",P69*H69,IF(G69="Dr",(N69-O69)*H69,(O69-N69)*H69))</f>
        <v/>
      </c>
      <c r="S69" s="16">
        <f>COA_Master!K68</f>
        <v/>
      </c>
      <c r="T69" s="16">
        <f>COA_Master!L68</f>
        <v/>
      </c>
      <c r="U69" s="16">
        <f>COA_Master!N68</f>
        <v/>
      </c>
    </row>
    <row r="70" ht="18" customHeight="1">
      <c r="A70" s="16">
        <f>COA_Master!A69</f>
        <v/>
      </c>
      <c r="B70" s="16">
        <f>COA_Master!B69</f>
        <v/>
      </c>
      <c r="C70" s="16">
        <f>COA_Master!D69</f>
        <v/>
      </c>
      <c r="D70" s="16">
        <f>COA_Master!E69</f>
        <v/>
      </c>
      <c r="E70" s="16">
        <f>COA_Master!F69</f>
        <v/>
      </c>
      <c r="F70" s="16">
        <f>COA_Master!G69</f>
        <v/>
      </c>
      <c r="G70" s="16">
        <f>COA_Master!H69</f>
        <v/>
      </c>
      <c r="H70" s="16">
        <f>COA_Master!I69</f>
        <v/>
      </c>
      <c r="I70" s="17">
        <f>COA_Master!M69</f>
        <v/>
      </c>
      <c r="J70" s="17">
        <f>SUMIFS(Journal_Input!$K$8:$K$184,Journal_Input!$A$8:$A$184,"Prior",Journal_Input!$G$8:$G$184,A70)</f>
        <v/>
      </c>
      <c r="K70" s="17">
        <f>SUMIFS(Journal_Input!$K$8:$K$184,Journal_Input!$A$8:$A$184,"Prior",Journal_Input!$I$8:$I$184,A70)</f>
        <v/>
      </c>
      <c r="L70" s="17">
        <f>IF(G70="Dr",I70+J70-K70,I70-J70+K70)</f>
        <v/>
      </c>
      <c r="M70" s="17">
        <f>L70</f>
        <v/>
      </c>
      <c r="N70" s="17">
        <f>SUMIFS(Journal_Input!$K$8:$K$184,Journal_Input!$A$8:$A$184,"Current",Journal_Input!$G$8:$G$184,A70)</f>
        <v/>
      </c>
      <c r="O70" s="17">
        <f>SUMIFS(Journal_Input!$K$8:$K$184,Journal_Input!$A$8:$A$184,"Current",Journal_Input!$I$8:$I$184,A70)</f>
        <v/>
      </c>
      <c r="P70" s="17">
        <f>IF(G70="Dr",M70+N70-O70,M70-N70+O70)</f>
        <v/>
      </c>
      <c r="Q70" s="17">
        <f>IF(C70="BS",L70*H70,IF(G70="Dr",(J70-K70)*H70,(K70-J70)*H70))</f>
        <v/>
      </c>
      <c r="R70" s="17">
        <f>IF(C70="BS",P70*H70,IF(G70="Dr",(N70-O70)*H70,(O70-N70)*H70))</f>
        <v/>
      </c>
      <c r="S70" s="16">
        <f>COA_Master!K69</f>
        <v/>
      </c>
      <c r="T70" s="16">
        <f>COA_Master!L69</f>
        <v/>
      </c>
      <c r="U70" s="16">
        <f>COA_Master!N69</f>
        <v/>
      </c>
    </row>
    <row r="71" ht="18" customHeight="1">
      <c r="A71" s="16">
        <f>COA_Master!A70</f>
        <v/>
      </c>
      <c r="B71" s="16">
        <f>COA_Master!B70</f>
        <v/>
      </c>
      <c r="C71" s="16">
        <f>COA_Master!D70</f>
        <v/>
      </c>
      <c r="D71" s="16">
        <f>COA_Master!E70</f>
        <v/>
      </c>
      <c r="E71" s="16">
        <f>COA_Master!F70</f>
        <v/>
      </c>
      <c r="F71" s="16">
        <f>COA_Master!G70</f>
        <v/>
      </c>
      <c r="G71" s="16">
        <f>COA_Master!H70</f>
        <v/>
      </c>
      <c r="H71" s="16">
        <f>COA_Master!I70</f>
        <v/>
      </c>
      <c r="I71" s="17">
        <f>COA_Master!M70</f>
        <v/>
      </c>
      <c r="J71" s="17">
        <f>SUMIFS(Journal_Input!$K$8:$K$184,Journal_Input!$A$8:$A$184,"Prior",Journal_Input!$G$8:$G$184,A71)</f>
        <v/>
      </c>
      <c r="K71" s="17">
        <f>SUMIFS(Journal_Input!$K$8:$K$184,Journal_Input!$A$8:$A$184,"Prior",Journal_Input!$I$8:$I$184,A71)</f>
        <v/>
      </c>
      <c r="L71" s="17">
        <f>IF(G71="Dr",I71+J71-K71,I71-J71+K71)</f>
        <v/>
      </c>
      <c r="M71" s="17">
        <f>L71</f>
        <v/>
      </c>
      <c r="N71" s="17">
        <f>SUMIFS(Journal_Input!$K$8:$K$184,Journal_Input!$A$8:$A$184,"Current",Journal_Input!$G$8:$G$184,A71)</f>
        <v/>
      </c>
      <c r="O71" s="17">
        <f>SUMIFS(Journal_Input!$K$8:$K$184,Journal_Input!$A$8:$A$184,"Current",Journal_Input!$I$8:$I$184,A71)</f>
        <v/>
      </c>
      <c r="P71" s="17">
        <f>IF(G71="Dr",M71+N71-O71,M71-N71+O71)</f>
        <v/>
      </c>
      <c r="Q71" s="17">
        <f>IF(C71="BS",L71*H71,IF(G71="Dr",(J71-K71)*H71,(K71-J71)*H71))</f>
        <v/>
      </c>
      <c r="R71" s="17">
        <f>IF(C71="BS",P71*H71,IF(G71="Dr",(N71-O71)*H71,(O71-N71)*H71))</f>
        <v/>
      </c>
      <c r="S71" s="16">
        <f>COA_Master!K70</f>
        <v/>
      </c>
      <c r="T71" s="16">
        <f>COA_Master!L70</f>
        <v/>
      </c>
      <c r="U71" s="16">
        <f>COA_Master!N70</f>
        <v/>
      </c>
    </row>
    <row r="72" ht="18" customHeight="1">
      <c r="A72" s="16">
        <f>COA_Master!A71</f>
        <v/>
      </c>
      <c r="B72" s="16">
        <f>COA_Master!B71</f>
        <v/>
      </c>
      <c r="C72" s="16">
        <f>COA_Master!D71</f>
        <v/>
      </c>
      <c r="D72" s="16">
        <f>COA_Master!E71</f>
        <v/>
      </c>
      <c r="E72" s="16">
        <f>COA_Master!F71</f>
        <v/>
      </c>
      <c r="F72" s="16">
        <f>COA_Master!G71</f>
        <v/>
      </c>
      <c r="G72" s="16">
        <f>COA_Master!H71</f>
        <v/>
      </c>
      <c r="H72" s="16">
        <f>COA_Master!I71</f>
        <v/>
      </c>
      <c r="I72" s="17">
        <f>COA_Master!M71</f>
        <v/>
      </c>
      <c r="J72" s="17">
        <f>SUMIFS(Journal_Input!$K$8:$K$184,Journal_Input!$A$8:$A$184,"Prior",Journal_Input!$G$8:$G$184,A72)</f>
        <v/>
      </c>
      <c r="K72" s="17">
        <f>SUMIFS(Journal_Input!$K$8:$K$184,Journal_Input!$A$8:$A$184,"Prior",Journal_Input!$I$8:$I$184,A72)</f>
        <v/>
      </c>
      <c r="L72" s="17">
        <f>IF(G72="Dr",I72+J72-K72,I72-J72+K72)</f>
        <v/>
      </c>
      <c r="M72" s="17">
        <f>L72</f>
        <v/>
      </c>
      <c r="N72" s="17">
        <f>SUMIFS(Journal_Input!$K$8:$K$184,Journal_Input!$A$8:$A$184,"Current",Journal_Input!$G$8:$G$184,A72)</f>
        <v/>
      </c>
      <c r="O72" s="17">
        <f>SUMIFS(Journal_Input!$K$8:$K$184,Journal_Input!$A$8:$A$184,"Current",Journal_Input!$I$8:$I$184,A72)</f>
        <v/>
      </c>
      <c r="P72" s="17">
        <f>IF(G72="Dr",M72+N72-O72,M72-N72+O72)</f>
        <v/>
      </c>
      <c r="Q72" s="17">
        <f>IF(C72="BS",L72*H72,IF(G72="Dr",(J72-K72)*H72,(K72-J72)*H72))</f>
        <v/>
      </c>
      <c r="R72" s="17">
        <f>IF(C72="BS",P72*H72,IF(G72="Dr",(N72-O72)*H72,(O72-N72)*H72))</f>
        <v/>
      </c>
      <c r="S72" s="16">
        <f>COA_Master!K71</f>
        <v/>
      </c>
      <c r="T72" s="16">
        <f>COA_Master!L71</f>
        <v/>
      </c>
      <c r="U72" s="16">
        <f>COA_Master!N71</f>
        <v/>
      </c>
    </row>
    <row r="73" ht="18" customHeight="1">
      <c r="A73" s="16">
        <f>COA_Master!A72</f>
        <v/>
      </c>
      <c r="B73" s="16">
        <f>COA_Master!B72</f>
        <v/>
      </c>
      <c r="C73" s="16">
        <f>COA_Master!D72</f>
        <v/>
      </c>
      <c r="D73" s="16">
        <f>COA_Master!E72</f>
        <v/>
      </c>
      <c r="E73" s="16">
        <f>COA_Master!F72</f>
        <v/>
      </c>
      <c r="F73" s="16">
        <f>COA_Master!G72</f>
        <v/>
      </c>
      <c r="G73" s="16">
        <f>COA_Master!H72</f>
        <v/>
      </c>
      <c r="H73" s="16">
        <f>COA_Master!I72</f>
        <v/>
      </c>
      <c r="I73" s="17">
        <f>COA_Master!M72</f>
        <v/>
      </c>
      <c r="J73" s="17">
        <f>SUMIFS(Journal_Input!$K$8:$K$184,Journal_Input!$A$8:$A$184,"Prior",Journal_Input!$G$8:$G$184,A73)</f>
        <v/>
      </c>
      <c r="K73" s="17">
        <f>SUMIFS(Journal_Input!$K$8:$K$184,Journal_Input!$A$8:$A$184,"Prior",Journal_Input!$I$8:$I$184,A73)</f>
        <v/>
      </c>
      <c r="L73" s="17">
        <f>IF(G73="Dr",I73+J73-K73,I73-J73+K73)</f>
        <v/>
      </c>
      <c r="M73" s="17">
        <f>L73</f>
        <v/>
      </c>
      <c r="N73" s="17">
        <f>SUMIFS(Journal_Input!$K$8:$K$184,Journal_Input!$A$8:$A$184,"Current",Journal_Input!$G$8:$G$184,A73)</f>
        <v/>
      </c>
      <c r="O73" s="17">
        <f>SUMIFS(Journal_Input!$K$8:$K$184,Journal_Input!$A$8:$A$184,"Current",Journal_Input!$I$8:$I$184,A73)</f>
        <v/>
      </c>
      <c r="P73" s="17">
        <f>IF(G73="Dr",M73+N73-O73,M73-N73+O73)</f>
        <v/>
      </c>
      <c r="Q73" s="17">
        <f>IF(C73="BS",L73*H73,IF(G73="Dr",(J73-K73)*H73,(K73-J73)*H73))</f>
        <v/>
      </c>
      <c r="R73" s="17">
        <f>IF(C73="BS",P73*H73,IF(G73="Dr",(N73-O73)*H73,(O73-N73)*H73))</f>
        <v/>
      </c>
      <c r="S73" s="16">
        <f>COA_Master!K72</f>
        <v/>
      </c>
      <c r="T73" s="16">
        <f>COA_Master!L72</f>
        <v/>
      </c>
      <c r="U73" s="16">
        <f>COA_Master!N72</f>
        <v/>
      </c>
    </row>
    <row r="74" ht="18" customHeight="1">
      <c r="A74" s="16">
        <f>COA_Master!A73</f>
        <v/>
      </c>
      <c r="B74" s="16">
        <f>COA_Master!B73</f>
        <v/>
      </c>
      <c r="C74" s="16">
        <f>COA_Master!D73</f>
        <v/>
      </c>
      <c r="D74" s="16">
        <f>COA_Master!E73</f>
        <v/>
      </c>
      <c r="E74" s="16">
        <f>COA_Master!F73</f>
        <v/>
      </c>
      <c r="F74" s="16">
        <f>COA_Master!G73</f>
        <v/>
      </c>
      <c r="G74" s="16">
        <f>COA_Master!H73</f>
        <v/>
      </c>
      <c r="H74" s="16">
        <f>COA_Master!I73</f>
        <v/>
      </c>
      <c r="I74" s="17">
        <f>COA_Master!M73</f>
        <v/>
      </c>
      <c r="J74" s="17">
        <f>SUMIFS(Journal_Input!$K$8:$K$184,Journal_Input!$A$8:$A$184,"Prior",Journal_Input!$G$8:$G$184,A74)</f>
        <v/>
      </c>
      <c r="K74" s="17">
        <f>SUMIFS(Journal_Input!$K$8:$K$184,Journal_Input!$A$8:$A$184,"Prior",Journal_Input!$I$8:$I$184,A74)</f>
        <v/>
      </c>
      <c r="L74" s="17">
        <f>IF(G74="Dr",I74+J74-K74,I74-J74+K74)</f>
        <v/>
      </c>
      <c r="M74" s="17">
        <f>L74</f>
        <v/>
      </c>
      <c r="N74" s="17">
        <f>SUMIFS(Journal_Input!$K$8:$K$184,Journal_Input!$A$8:$A$184,"Current",Journal_Input!$G$8:$G$184,A74)</f>
        <v/>
      </c>
      <c r="O74" s="17">
        <f>SUMIFS(Journal_Input!$K$8:$K$184,Journal_Input!$A$8:$A$184,"Current",Journal_Input!$I$8:$I$184,A74)</f>
        <v/>
      </c>
      <c r="P74" s="17">
        <f>IF(G74="Dr",M74+N74-O74,M74-N74+O74)</f>
        <v/>
      </c>
      <c r="Q74" s="17">
        <f>IF(C74="BS",L74*H74,IF(G74="Dr",(J74-K74)*H74,(K74-J74)*H74))</f>
        <v/>
      </c>
      <c r="R74" s="17">
        <f>IF(C74="BS",P74*H74,IF(G74="Dr",(N74-O74)*H74,(O74-N74)*H74))</f>
        <v/>
      </c>
      <c r="S74" s="16">
        <f>COA_Master!K73</f>
        <v/>
      </c>
      <c r="T74" s="16">
        <f>COA_Master!L73</f>
        <v/>
      </c>
      <c r="U74" s="16">
        <f>COA_Master!N73</f>
        <v/>
      </c>
    </row>
    <row r="75" ht="18" customHeight="1">
      <c r="A75" s="16">
        <f>COA_Master!A74</f>
        <v/>
      </c>
      <c r="B75" s="16">
        <f>COA_Master!B74</f>
        <v/>
      </c>
      <c r="C75" s="16">
        <f>COA_Master!D74</f>
        <v/>
      </c>
      <c r="D75" s="16">
        <f>COA_Master!E74</f>
        <v/>
      </c>
      <c r="E75" s="16">
        <f>COA_Master!F74</f>
        <v/>
      </c>
      <c r="F75" s="16">
        <f>COA_Master!G74</f>
        <v/>
      </c>
      <c r="G75" s="16">
        <f>COA_Master!H74</f>
        <v/>
      </c>
      <c r="H75" s="16">
        <f>COA_Master!I74</f>
        <v/>
      </c>
      <c r="I75" s="17">
        <f>COA_Master!M74</f>
        <v/>
      </c>
      <c r="J75" s="17">
        <f>SUMIFS(Journal_Input!$K$8:$K$184,Journal_Input!$A$8:$A$184,"Prior",Journal_Input!$G$8:$G$184,A75)</f>
        <v/>
      </c>
      <c r="K75" s="17">
        <f>SUMIFS(Journal_Input!$K$8:$K$184,Journal_Input!$A$8:$A$184,"Prior",Journal_Input!$I$8:$I$184,A75)</f>
        <v/>
      </c>
      <c r="L75" s="17">
        <f>IF(G75="Dr",I75+J75-K75,I75-J75+K75)</f>
        <v/>
      </c>
      <c r="M75" s="17">
        <f>L75</f>
        <v/>
      </c>
      <c r="N75" s="17">
        <f>SUMIFS(Journal_Input!$K$8:$K$184,Journal_Input!$A$8:$A$184,"Current",Journal_Input!$G$8:$G$184,A75)</f>
        <v/>
      </c>
      <c r="O75" s="17">
        <f>SUMIFS(Journal_Input!$K$8:$K$184,Journal_Input!$A$8:$A$184,"Current",Journal_Input!$I$8:$I$184,A75)</f>
        <v/>
      </c>
      <c r="P75" s="17">
        <f>IF(G75="Dr",M75+N75-O75,M75-N75+O75)</f>
        <v/>
      </c>
      <c r="Q75" s="17">
        <f>IF(C75="BS",L75*H75,IF(G75="Dr",(J75-K75)*H75,(K75-J75)*H75))</f>
        <v/>
      </c>
      <c r="R75" s="17">
        <f>IF(C75="BS",P75*H75,IF(G75="Dr",(N75-O75)*H75,(O75-N75)*H75))</f>
        <v/>
      </c>
      <c r="S75" s="16">
        <f>COA_Master!K74</f>
        <v/>
      </c>
      <c r="T75" s="16">
        <f>COA_Master!L74</f>
        <v/>
      </c>
      <c r="U75" s="16">
        <f>COA_Master!N74</f>
        <v/>
      </c>
    </row>
    <row r="76" ht="18" customHeight="1">
      <c r="A76" s="16">
        <f>COA_Master!A75</f>
        <v/>
      </c>
      <c r="B76" s="16">
        <f>COA_Master!B75</f>
        <v/>
      </c>
      <c r="C76" s="16">
        <f>COA_Master!D75</f>
        <v/>
      </c>
      <c r="D76" s="16">
        <f>COA_Master!E75</f>
        <v/>
      </c>
      <c r="E76" s="16">
        <f>COA_Master!F75</f>
        <v/>
      </c>
      <c r="F76" s="16">
        <f>COA_Master!G75</f>
        <v/>
      </c>
      <c r="G76" s="16">
        <f>COA_Master!H75</f>
        <v/>
      </c>
      <c r="H76" s="16">
        <f>COA_Master!I75</f>
        <v/>
      </c>
      <c r="I76" s="17">
        <f>COA_Master!M75</f>
        <v/>
      </c>
      <c r="J76" s="17">
        <f>SUMIFS(Journal_Input!$K$8:$K$184,Journal_Input!$A$8:$A$184,"Prior",Journal_Input!$G$8:$G$184,A76)</f>
        <v/>
      </c>
      <c r="K76" s="17">
        <f>SUMIFS(Journal_Input!$K$8:$K$184,Journal_Input!$A$8:$A$184,"Prior",Journal_Input!$I$8:$I$184,A76)</f>
        <v/>
      </c>
      <c r="L76" s="17">
        <f>IF(G76="Dr",I76+J76-K76,I76-J76+K76)</f>
        <v/>
      </c>
      <c r="M76" s="17">
        <f>L76</f>
        <v/>
      </c>
      <c r="N76" s="17">
        <f>SUMIFS(Journal_Input!$K$8:$K$184,Journal_Input!$A$8:$A$184,"Current",Journal_Input!$G$8:$G$184,A76)</f>
        <v/>
      </c>
      <c r="O76" s="17">
        <f>SUMIFS(Journal_Input!$K$8:$K$184,Journal_Input!$A$8:$A$184,"Current",Journal_Input!$I$8:$I$184,A76)</f>
        <v/>
      </c>
      <c r="P76" s="17">
        <f>IF(G76="Dr",M76+N76-O76,M76-N76+O76)</f>
        <v/>
      </c>
      <c r="Q76" s="17">
        <f>IF(C76="BS",L76*H76,IF(G76="Dr",(J76-K76)*H76,(K76-J76)*H76))</f>
        <v/>
      </c>
      <c r="R76" s="17">
        <f>IF(C76="BS",P76*H76,IF(G76="Dr",(N76-O76)*H76,(O76-N76)*H76))</f>
        <v/>
      </c>
      <c r="S76" s="16">
        <f>COA_Master!K75</f>
        <v/>
      </c>
      <c r="T76" s="16">
        <f>COA_Master!L75</f>
        <v/>
      </c>
      <c r="U76" s="16">
        <f>COA_Master!N75</f>
        <v/>
      </c>
    </row>
    <row r="77" ht="18" customHeight="1">
      <c r="A77" s="16">
        <f>COA_Master!A76</f>
        <v/>
      </c>
      <c r="B77" s="16">
        <f>COA_Master!B76</f>
        <v/>
      </c>
      <c r="C77" s="16">
        <f>COA_Master!D76</f>
        <v/>
      </c>
      <c r="D77" s="16">
        <f>COA_Master!E76</f>
        <v/>
      </c>
      <c r="E77" s="16">
        <f>COA_Master!F76</f>
        <v/>
      </c>
      <c r="F77" s="16">
        <f>COA_Master!G76</f>
        <v/>
      </c>
      <c r="G77" s="16">
        <f>COA_Master!H76</f>
        <v/>
      </c>
      <c r="H77" s="16">
        <f>COA_Master!I76</f>
        <v/>
      </c>
      <c r="I77" s="17">
        <f>COA_Master!M76</f>
        <v/>
      </c>
      <c r="J77" s="17">
        <f>SUMIFS(Journal_Input!$K$8:$K$184,Journal_Input!$A$8:$A$184,"Prior",Journal_Input!$G$8:$G$184,A77)</f>
        <v/>
      </c>
      <c r="K77" s="17">
        <f>SUMIFS(Journal_Input!$K$8:$K$184,Journal_Input!$A$8:$A$184,"Prior",Journal_Input!$I$8:$I$184,A77)</f>
        <v/>
      </c>
      <c r="L77" s="17">
        <f>IF(G77="Dr",I77+J77-K77,I77-J77+K77)</f>
        <v/>
      </c>
      <c r="M77" s="17">
        <f>L77</f>
        <v/>
      </c>
      <c r="N77" s="17">
        <f>SUMIFS(Journal_Input!$K$8:$K$184,Journal_Input!$A$8:$A$184,"Current",Journal_Input!$G$8:$G$184,A77)</f>
        <v/>
      </c>
      <c r="O77" s="17">
        <f>SUMIFS(Journal_Input!$K$8:$K$184,Journal_Input!$A$8:$A$184,"Current",Journal_Input!$I$8:$I$184,A77)</f>
        <v/>
      </c>
      <c r="P77" s="17">
        <f>IF(G77="Dr",M77+N77-O77,M77-N77+O77)</f>
        <v/>
      </c>
      <c r="Q77" s="17">
        <f>IF(C77="BS",L77*H77,IF(G77="Dr",(J77-K77)*H77,(K77-J77)*H77))</f>
        <v/>
      </c>
      <c r="R77" s="17">
        <f>IF(C77="BS",P77*H77,IF(G77="Dr",(N77-O77)*H77,(O77-N77)*H77))</f>
        <v/>
      </c>
      <c r="S77" s="16">
        <f>COA_Master!K76</f>
        <v/>
      </c>
      <c r="T77" s="16">
        <f>COA_Master!L76</f>
        <v/>
      </c>
      <c r="U77" s="16">
        <f>COA_Master!N76</f>
        <v/>
      </c>
    </row>
    <row r="78" ht="18" customHeight="1">
      <c r="A78" s="16">
        <f>COA_Master!A77</f>
        <v/>
      </c>
      <c r="B78" s="16">
        <f>COA_Master!B77</f>
        <v/>
      </c>
      <c r="C78" s="16">
        <f>COA_Master!D77</f>
        <v/>
      </c>
      <c r="D78" s="16">
        <f>COA_Master!E77</f>
        <v/>
      </c>
      <c r="E78" s="16">
        <f>COA_Master!F77</f>
        <v/>
      </c>
      <c r="F78" s="16">
        <f>COA_Master!G77</f>
        <v/>
      </c>
      <c r="G78" s="16">
        <f>COA_Master!H77</f>
        <v/>
      </c>
      <c r="H78" s="16">
        <f>COA_Master!I77</f>
        <v/>
      </c>
      <c r="I78" s="17">
        <f>COA_Master!M77</f>
        <v/>
      </c>
      <c r="J78" s="17">
        <f>SUMIFS(Journal_Input!$K$8:$K$184,Journal_Input!$A$8:$A$184,"Prior",Journal_Input!$G$8:$G$184,A78)</f>
        <v/>
      </c>
      <c r="K78" s="17">
        <f>SUMIFS(Journal_Input!$K$8:$K$184,Journal_Input!$A$8:$A$184,"Prior",Journal_Input!$I$8:$I$184,A78)</f>
        <v/>
      </c>
      <c r="L78" s="17">
        <f>IF(G78="Dr",I78+J78-K78,I78-J78+K78)</f>
        <v/>
      </c>
      <c r="M78" s="17">
        <f>L78</f>
        <v/>
      </c>
      <c r="N78" s="17">
        <f>SUMIFS(Journal_Input!$K$8:$K$184,Journal_Input!$A$8:$A$184,"Current",Journal_Input!$G$8:$G$184,A78)</f>
        <v/>
      </c>
      <c r="O78" s="17">
        <f>SUMIFS(Journal_Input!$K$8:$K$184,Journal_Input!$A$8:$A$184,"Current",Journal_Input!$I$8:$I$184,A78)</f>
        <v/>
      </c>
      <c r="P78" s="17">
        <f>IF(G78="Dr",M78+N78-O78,M78-N78+O78)</f>
        <v/>
      </c>
      <c r="Q78" s="17">
        <f>IF(C78="BS",L78*H78,IF(G78="Dr",(J78-K78)*H78,(K78-J78)*H78))</f>
        <v/>
      </c>
      <c r="R78" s="17">
        <f>IF(C78="BS",P78*H78,IF(G78="Dr",(N78-O78)*H78,(O78-N78)*H78))</f>
        <v/>
      </c>
      <c r="S78" s="16">
        <f>COA_Master!K77</f>
        <v/>
      </c>
      <c r="T78" s="16">
        <f>COA_Master!L77</f>
        <v/>
      </c>
      <c r="U78" s="16">
        <f>COA_Master!N77</f>
        <v/>
      </c>
    </row>
    <row r="79" ht="18" customHeight="1">
      <c r="A79" s="16">
        <f>COA_Master!A78</f>
        <v/>
      </c>
      <c r="B79" s="16">
        <f>COA_Master!B78</f>
        <v/>
      </c>
      <c r="C79" s="16">
        <f>COA_Master!D78</f>
        <v/>
      </c>
      <c r="D79" s="16">
        <f>COA_Master!E78</f>
        <v/>
      </c>
      <c r="E79" s="16">
        <f>COA_Master!F78</f>
        <v/>
      </c>
      <c r="F79" s="16">
        <f>COA_Master!G78</f>
        <v/>
      </c>
      <c r="G79" s="16">
        <f>COA_Master!H78</f>
        <v/>
      </c>
      <c r="H79" s="16">
        <f>COA_Master!I78</f>
        <v/>
      </c>
      <c r="I79" s="17">
        <f>COA_Master!M78</f>
        <v/>
      </c>
      <c r="J79" s="17">
        <f>SUMIFS(Journal_Input!$K$8:$K$184,Journal_Input!$A$8:$A$184,"Prior",Journal_Input!$G$8:$G$184,A79)</f>
        <v/>
      </c>
      <c r="K79" s="17">
        <f>SUMIFS(Journal_Input!$K$8:$K$184,Journal_Input!$A$8:$A$184,"Prior",Journal_Input!$I$8:$I$184,A79)</f>
        <v/>
      </c>
      <c r="L79" s="17">
        <f>IF(G79="Dr",I79+J79-K79,I79-J79+K79)</f>
        <v/>
      </c>
      <c r="M79" s="17">
        <f>L79</f>
        <v/>
      </c>
      <c r="N79" s="17">
        <f>SUMIFS(Journal_Input!$K$8:$K$184,Journal_Input!$A$8:$A$184,"Current",Journal_Input!$G$8:$G$184,A79)</f>
        <v/>
      </c>
      <c r="O79" s="17">
        <f>SUMIFS(Journal_Input!$K$8:$K$184,Journal_Input!$A$8:$A$184,"Current",Journal_Input!$I$8:$I$184,A79)</f>
        <v/>
      </c>
      <c r="P79" s="17">
        <f>IF(G79="Dr",M79+N79-O79,M79-N79+O79)</f>
        <v/>
      </c>
      <c r="Q79" s="17">
        <f>IF(C79="BS",L79*H79,IF(G79="Dr",(J79-K79)*H79,(K79-J79)*H79))</f>
        <v/>
      </c>
      <c r="R79" s="17">
        <f>IF(C79="BS",P79*H79,IF(G79="Dr",(N79-O79)*H79,(O79-N79)*H79))</f>
        <v/>
      </c>
      <c r="S79" s="16">
        <f>COA_Master!K78</f>
        <v/>
      </c>
      <c r="T79" s="16">
        <f>COA_Master!L78</f>
        <v/>
      </c>
      <c r="U79" s="16">
        <f>COA_Master!N78</f>
        <v/>
      </c>
    </row>
    <row r="80" ht="18" customHeight="1">
      <c r="A80" s="16">
        <f>COA_Master!A79</f>
        <v/>
      </c>
      <c r="B80" s="16">
        <f>COA_Master!B79</f>
        <v/>
      </c>
      <c r="C80" s="16">
        <f>COA_Master!D79</f>
        <v/>
      </c>
      <c r="D80" s="16">
        <f>COA_Master!E79</f>
        <v/>
      </c>
      <c r="E80" s="16">
        <f>COA_Master!F79</f>
        <v/>
      </c>
      <c r="F80" s="16">
        <f>COA_Master!G79</f>
        <v/>
      </c>
      <c r="G80" s="16">
        <f>COA_Master!H79</f>
        <v/>
      </c>
      <c r="H80" s="16">
        <f>COA_Master!I79</f>
        <v/>
      </c>
      <c r="I80" s="17">
        <f>COA_Master!M79</f>
        <v/>
      </c>
      <c r="J80" s="17">
        <f>SUMIFS(Journal_Input!$K$8:$K$184,Journal_Input!$A$8:$A$184,"Prior",Journal_Input!$G$8:$G$184,A80)</f>
        <v/>
      </c>
      <c r="K80" s="17">
        <f>SUMIFS(Journal_Input!$K$8:$K$184,Journal_Input!$A$8:$A$184,"Prior",Journal_Input!$I$8:$I$184,A80)</f>
        <v/>
      </c>
      <c r="L80" s="17">
        <f>IF(G80="Dr",I80+J80-K80,I80-J80+K80)</f>
        <v/>
      </c>
      <c r="M80" s="17">
        <f>L80</f>
        <v/>
      </c>
      <c r="N80" s="17">
        <f>SUMIFS(Journal_Input!$K$8:$K$184,Journal_Input!$A$8:$A$184,"Current",Journal_Input!$G$8:$G$184,A80)</f>
        <v/>
      </c>
      <c r="O80" s="17">
        <f>SUMIFS(Journal_Input!$K$8:$K$184,Journal_Input!$A$8:$A$184,"Current",Journal_Input!$I$8:$I$184,A80)</f>
        <v/>
      </c>
      <c r="P80" s="17">
        <f>IF(G80="Dr",M80+N80-O80,M80-N80+O80)</f>
        <v/>
      </c>
      <c r="Q80" s="17">
        <f>IF(C80="BS",L80*H80,IF(G80="Dr",(J80-K80)*H80,(K80-J80)*H80))</f>
        <v/>
      </c>
      <c r="R80" s="17">
        <f>IF(C80="BS",P80*H80,IF(G80="Dr",(N80-O80)*H80,(O80-N80)*H80))</f>
        <v/>
      </c>
      <c r="S80" s="16">
        <f>COA_Master!K79</f>
        <v/>
      </c>
      <c r="T80" s="16">
        <f>COA_Master!L79</f>
        <v/>
      </c>
      <c r="U80" s="16">
        <f>COA_Master!N79</f>
        <v/>
      </c>
    </row>
    <row r="81" ht="18" customHeight="1">
      <c r="A81" s="16">
        <f>COA_Master!A80</f>
        <v/>
      </c>
      <c r="B81" s="16">
        <f>COA_Master!B80</f>
        <v/>
      </c>
      <c r="C81" s="16">
        <f>COA_Master!D80</f>
        <v/>
      </c>
      <c r="D81" s="16">
        <f>COA_Master!E80</f>
        <v/>
      </c>
      <c r="E81" s="16">
        <f>COA_Master!F80</f>
        <v/>
      </c>
      <c r="F81" s="16">
        <f>COA_Master!G80</f>
        <v/>
      </c>
      <c r="G81" s="16">
        <f>COA_Master!H80</f>
        <v/>
      </c>
      <c r="H81" s="16">
        <f>COA_Master!I80</f>
        <v/>
      </c>
      <c r="I81" s="17">
        <f>COA_Master!M80</f>
        <v/>
      </c>
      <c r="J81" s="17">
        <f>SUMIFS(Journal_Input!$K$8:$K$184,Journal_Input!$A$8:$A$184,"Prior",Journal_Input!$G$8:$G$184,A81)</f>
        <v/>
      </c>
      <c r="K81" s="17">
        <f>SUMIFS(Journal_Input!$K$8:$K$184,Journal_Input!$A$8:$A$184,"Prior",Journal_Input!$I$8:$I$184,A81)</f>
        <v/>
      </c>
      <c r="L81" s="17">
        <f>IF(G81="Dr",I81+J81-K81,I81-J81+K81)</f>
        <v/>
      </c>
      <c r="M81" s="17">
        <f>L81</f>
        <v/>
      </c>
      <c r="N81" s="17">
        <f>SUMIFS(Journal_Input!$K$8:$K$184,Journal_Input!$A$8:$A$184,"Current",Journal_Input!$G$8:$G$184,A81)</f>
        <v/>
      </c>
      <c r="O81" s="17">
        <f>SUMIFS(Journal_Input!$K$8:$K$184,Journal_Input!$A$8:$A$184,"Current",Journal_Input!$I$8:$I$184,A81)</f>
        <v/>
      </c>
      <c r="P81" s="17">
        <f>IF(G81="Dr",M81+N81-O81,M81-N81+O81)</f>
        <v/>
      </c>
      <c r="Q81" s="17">
        <f>IF(C81="BS",L81*H81,IF(G81="Dr",(J81-K81)*H81,(K81-J81)*H81))</f>
        <v/>
      </c>
      <c r="R81" s="17">
        <f>IF(C81="BS",P81*H81,IF(G81="Dr",(N81-O81)*H81,(O81-N81)*H81))</f>
        <v/>
      </c>
      <c r="S81" s="16">
        <f>COA_Master!K80</f>
        <v/>
      </c>
      <c r="T81" s="16">
        <f>COA_Master!L80</f>
        <v/>
      </c>
      <c r="U81" s="16">
        <f>COA_Master!N80</f>
        <v/>
      </c>
    </row>
    <row r="82" ht="18" customHeight="1">
      <c r="A82" s="16">
        <f>COA_Master!A81</f>
        <v/>
      </c>
      <c r="B82" s="16">
        <f>COA_Master!B81</f>
        <v/>
      </c>
      <c r="C82" s="16">
        <f>COA_Master!D81</f>
        <v/>
      </c>
      <c r="D82" s="16">
        <f>COA_Master!E81</f>
        <v/>
      </c>
      <c r="E82" s="16">
        <f>COA_Master!F81</f>
        <v/>
      </c>
      <c r="F82" s="16">
        <f>COA_Master!G81</f>
        <v/>
      </c>
      <c r="G82" s="16">
        <f>COA_Master!H81</f>
        <v/>
      </c>
      <c r="H82" s="16">
        <f>COA_Master!I81</f>
        <v/>
      </c>
      <c r="I82" s="17">
        <f>COA_Master!M81</f>
        <v/>
      </c>
      <c r="J82" s="17">
        <f>SUMIFS(Journal_Input!$K$8:$K$184,Journal_Input!$A$8:$A$184,"Prior",Journal_Input!$G$8:$G$184,A82)</f>
        <v/>
      </c>
      <c r="K82" s="17">
        <f>SUMIFS(Journal_Input!$K$8:$K$184,Journal_Input!$A$8:$A$184,"Prior",Journal_Input!$I$8:$I$184,A82)</f>
        <v/>
      </c>
      <c r="L82" s="17">
        <f>IF(G82="Dr",I82+J82-K82,I82-J82+K82)</f>
        <v/>
      </c>
      <c r="M82" s="17">
        <f>L82</f>
        <v/>
      </c>
      <c r="N82" s="17">
        <f>SUMIFS(Journal_Input!$K$8:$K$184,Journal_Input!$A$8:$A$184,"Current",Journal_Input!$G$8:$G$184,A82)</f>
        <v/>
      </c>
      <c r="O82" s="17">
        <f>SUMIFS(Journal_Input!$K$8:$K$184,Journal_Input!$A$8:$A$184,"Current",Journal_Input!$I$8:$I$184,A82)</f>
        <v/>
      </c>
      <c r="P82" s="17">
        <f>IF(G82="Dr",M82+N82-O82,M82-N82+O82)</f>
        <v/>
      </c>
      <c r="Q82" s="17">
        <f>IF(C82="BS",L82*H82,IF(G82="Dr",(J82-K82)*H82,(K82-J82)*H82))</f>
        <v/>
      </c>
      <c r="R82" s="17">
        <f>IF(C82="BS",P82*H82,IF(G82="Dr",(N82-O82)*H82,(O82-N82)*H82))</f>
        <v/>
      </c>
      <c r="S82" s="16">
        <f>COA_Master!K81</f>
        <v/>
      </c>
      <c r="T82" s="16">
        <f>COA_Master!L81</f>
        <v/>
      </c>
      <c r="U82" s="16">
        <f>COA_Master!N81</f>
        <v/>
      </c>
    </row>
    <row r="83" ht="18" customHeight="1">
      <c r="A83" s="16">
        <f>COA_Master!A82</f>
        <v/>
      </c>
      <c r="B83" s="16">
        <f>COA_Master!B82</f>
        <v/>
      </c>
      <c r="C83" s="16">
        <f>COA_Master!D82</f>
        <v/>
      </c>
      <c r="D83" s="16">
        <f>COA_Master!E82</f>
        <v/>
      </c>
      <c r="E83" s="16">
        <f>COA_Master!F82</f>
        <v/>
      </c>
      <c r="F83" s="16">
        <f>COA_Master!G82</f>
        <v/>
      </c>
      <c r="G83" s="16">
        <f>COA_Master!H82</f>
        <v/>
      </c>
      <c r="H83" s="16">
        <f>COA_Master!I82</f>
        <v/>
      </c>
      <c r="I83" s="17">
        <f>COA_Master!M82</f>
        <v/>
      </c>
      <c r="J83" s="17">
        <f>SUMIFS(Journal_Input!$K$8:$K$184,Journal_Input!$A$8:$A$184,"Prior",Journal_Input!$G$8:$G$184,A83)</f>
        <v/>
      </c>
      <c r="K83" s="17">
        <f>SUMIFS(Journal_Input!$K$8:$K$184,Journal_Input!$A$8:$A$184,"Prior",Journal_Input!$I$8:$I$184,A83)</f>
        <v/>
      </c>
      <c r="L83" s="17">
        <f>IF(G83="Dr",I83+J83-K83,I83-J83+K83)</f>
        <v/>
      </c>
      <c r="M83" s="17">
        <f>L83</f>
        <v/>
      </c>
      <c r="N83" s="17">
        <f>SUMIFS(Journal_Input!$K$8:$K$184,Journal_Input!$A$8:$A$184,"Current",Journal_Input!$G$8:$G$184,A83)</f>
        <v/>
      </c>
      <c r="O83" s="17">
        <f>SUMIFS(Journal_Input!$K$8:$K$184,Journal_Input!$A$8:$A$184,"Current",Journal_Input!$I$8:$I$184,A83)</f>
        <v/>
      </c>
      <c r="P83" s="17">
        <f>IF(G83="Dr",M83+N83-O83,M83-N83+O83)</f>
        <v/>
      </c>
      <c r="Q83" s="17">
        <f>IF(C83="BS",L83*H83,IF(G83="Dr",(J83-K83)*H83,(K83-J83)*H83))</f>
        <v/>
      </c>
      <c r="R83" s="17">
        <f>IF(C83="BS",P83*H83,IF(G83="Dr",(N83-O83)*H83,(O83-N83)*H83))</f>
        <v/>
      </c>
      <c r="S83" s="16">
        <f>COA_Master!K82</f>
        <v/>
      </c>
      <c r="T83" s="16">
        <f>COA_Master!L82</f>
        <v/>
      </c>
      <c r="U83" s="16">
        <f>COA_Master!N82</f>
        <v/>
      </c>
    </row>
    <row r="84" ht="18" customHeight="1">
      <c r="A84" s="16">
        <f>COA_Master!A83</f>
        <v/>
      </c>
      <c r="B84" s="16">
        <f>COA_Master!B83</f>
        <v/>
      </c>
      <c r="C84" s="16">
        <f>COA_Master!D83</f>
        <v/>
      </c>
      <c r="D84" s="16">
        <f>COA_Master!E83</f>
        <v/>
      </c>
      <c r="E84" s="16">
        <f>COA_Master!F83</f>
        <v/>
      </c>
      <c r="F84" s="16">
        <f>COA_Master!G83</f>
        <v/>
      </c>
      <c r="G84" s="16">
        <f>COA_Master!H83</f>
        <v/>
      </c>
      <c r="H84" s="16">
        <f>COA_Master!I83</f>
        <v/>
      </c>
      <c r="I84" s="17">
        <f>COA_Master!M83</f>
        <v/>
      </c>
      <c r="J84" s="17">
        <f>SUMIFS(Journal_Input!$K$8:$K$184,Journal_Input!$A$8:$A$184,"Prior",Journal_Input!$G$8:$G$184,A84)</f>
        <v/>
      </c>
      <c r="K84" s="17">
        <f>SUMIFS(Journal_Input!$K$8:$K$184,Journal_Input!$A$8:$A$184,"Prior",Journal_Input!$I$8:$I$184,A84)</f>
        <v/>
      </c>
      <c r="L84" s="17">
        <f>IF(G84="Dr",I84+J84-K84,I84-J84+K84)</f>
        <v/>
      </c>
      <c r="M84" s="17">
        <f>L84</f>
        <v/>
      </c>
      <c r="N84" s="17">
        <f>SUMIFS(Journal_Input!$K$8:$K$184,Journal_Input!$A$8:$A$184,"Current",Journal_Input!$G$8:$G$184,A84)</f>
        <v/>
      </c>
      <c r="O84" s="17">
        <f>SUMIFS(Journal_Input!$K$8:$K$184,Journal_Input!$A$8:$A$184,"Current",Journal_Input!$I$8:$I$184,A84)</f>
        <v/>
      </c>
      <c r="P84" s="17">
        <f>IF(G84="Dr",M84+N84-O84,M84-N84+O84)</f>
        <v/>
      </c>
      <c r="Q84" s="17">
        <f>IF(C84="BS",L84*H84,IF(G84="Dr",(J84-K84)*H84,(K84-J84)*H84))</f>
        <v/>
      </c>
      <c r="R84" s="17">
        <f>IF(C84="BS",P84*H84,IF(G84="Dr",(N84-O84)*H84,(O84-N84)*H84))</f>
        <v/>
      </c>
      <c r="S84" s="16">
        <f>COA_Master!K83</f>
        <v/>
      </c>
      <c r="T84" s="16">
        <f>COA_Master!L83</f>
        <v/>
      </c>
      <c r="U84" s="16">
        <f>COA_Master!N83</f>
        <v/>
      </c>
    </row>
    <row r="85" ht="18" customHeight="1">
      <c r="A85" s="16">
        <f>COA_Master!A84</f>
        <v/>
      </c>
      <c r="B85" s="16">
        <f>COA_Master!B84</f>
        <v/>
      </c>
      <c r="C85" s="16">
        <f>COA_Master!D84</f>
        <v/>
      </c>
      <c r="D85" s="16">
        <f>COA_Master!E84</f>
        <v/>
      </c>
      <c r="E85" s="16">
        <f>COA_Master!F84</f>
        <v/>
      </c>
      <c r="F85" s="16">
        <f>COA_Master!G84</f>
        <v/>
      </c>
      <c r="G85" s="16">
        <f>COA_Master!H84</f>
        <v/>
      </c>
      <c r="H85" s="16">
        <f>COA_Master!I84</f>
        <v/>
      </c>
      <c r="I85" s="17">
        <f>COA_Master!M84</f>
        <v/>
      </c>
      <c r="J85" s="17">
        <f>SUMIFS(Journal_Input!$K$8:$K$184,Journal_Input!$A$8:$A$184,"Prior",Journal_Input!$G$8:$G$184,A85)</f>
        <v/>
      </c>
      <c r="K85" s="17">
        <f>SUMIFS(Journal_Input!$K$8:$K$184,Journal_Input!$A$8:$A$184,"Prior",Journal_Input!$I$8:$I$184,A85)</f>
        <v/>
      </c>
      <c r="L85" s="17">
        <f>IF(G85="Dr",I85+J85-K85,I85-J85+K85)</f>
        <v/>
      </c>
      <c r="M85" s="17">
        <f>L85</f>
        <v/>
      </c>
      <c r="N85" s="17">
        <f>SUMIFS(Journal_Input!$K$8:$K$184,Journal_Input!$A$8:$A$184,"Current",Journal_Input!$G$8:$G$184,A85)</f>
        <v/>
      </c>
      <c r="O85" s="17">
        <f>SUMIFS(Journal_Input!$K$8:$K$184,Journal_Input!$A$8:$A$184,"Current",Journal_Input!$I$8:$I$184,A85)</f>
        <v/>
      </c>
      <c r="P85" s="17">
        <f>IF(G85="Dr",M85+N85-O85,M85-N85+O85)</f>
        <v/>
      </c>
      <c r="Q85" s="17">
        <f>IF(C85="BS",L85*H85,IF(G85="Dr",(J85-K85)*H85,(K85-J85)*H85))</f>
        <v/>
      </c>
      <c r="R85" s="17">
        <f>IF(C85="BS",P85*H85,IF(G85="Dr",(N85-O85)*H85,(O85-N85)*H85))</f>
        <v/>
      </c>
      <c r="S85" s="16">
        <f>COA_Master!K84</f>
        <v/>
      </c>
      <c r="T85" s="16">
        <f>COA_Master!L84</f>
        <v/>
      </c>
      <c r="U85" s="16">
        <f>COA_Master!N84</f>
        <v/>
      </c>
    </row>
    <row r="86" ht="18" customHeight="1">
      <c r="A86" s="16">
        <f>COA_Master!A85</f>
        <v/>
      </c>
      <c r="B86" s="16">
        <f>COA_Master!B85</f>
        <v/>
      </c>
      <c r="C86" s="16">
        <f>COA_Master!D85</f>
        <v/>
      </c>
      <c r="D86" s="16">
        <f>COA_Master!E85</f>
        <v/>
      </c>
      <c r="E86" s="16">
        <f>COA_Master!F85</f>
        <v/>
      </c>
      <c r="F86" s="16">
        <f>COA_Master!G85</f>
        <v/>
      </c>
      <c r="G86" s="16">
        <f>COA_Master!H85</f>
        <v/>
      </c>
      <c r="H86" s="16">
        <f>COA_Master!I85</f>
        <v/>
      </c>
      <c r="I86" s="17">
        <f>COA_Master!M85</f>
        <v/>
      </c>
      <c r="J86" s="17">
        <f>SUMIFS(Journal_Input!$K$8:$K$184,Journal_Input!$A$8:$A$184,"Prior",Journal_Input!$G$8:$G$184,A86)</f>
        <v/>
      </c>
      <c r="K86" s="17">
        <f>SUMIFS(Journal_Input!$K$8:$K$184,Journal_Input!$A$8:$A$184,"Prior",Journal_Input!$I$8:$I$184,A86)</f>
        <v/>
      </c>
      <c r="L86" s="17">
        <f>IF(G86="Dr",I86+J86-K86,I86-J86+K86)</f>
        <v/>
      </c>
      <c r="M86" s="17">
        <f>L86</f>
        <v/>
      </c>
      <c r="N86" s="17">
        <f>SUMIFS(Journal_Input!$K$8:$K$184,Journal_Input!$A$8:$A$184,"Current",Journal_Input!$G$8:$G$184,A86)</f>
        <v/>
      </c>
      <c r="O86" s="17">
        <f>SUMIFS(Journal_Input!$K$8:$K$184,Journal_Input!$A$8:$A$184,"Current",Journal_Input!$I$8:$I$184,A86)</f>
        <v/>
      </c>
      <c r="P86" s="17">
        <f>IF(G86="Dr",M86+N86-O86,M86-N86+O86)</f>
        <v/>
      </c>
      <c r="Q86" s="17">
        <f>IF(C86="BS",L86*H86,IF(G86="Dr",(J86-K86)*H86,(K86-J86)*H86))</f>
        <v/>
      </c>
      <c r="R86" s="17">
        <f>IF(C86="BS",P86*H86,IF(G86="Dr",(N86-O86)*H86,(O86-N86)*H86))</f>
        <v/>
      </c>
      <c r="S86" s="16">
        <f>COA_Master!K85</f>
        <v/>
      </c>
      <c r="T86" s="16">
        <f>COA_Master!L85</f>
        <v/>
      </c>
      <c r="U86" s="16">
        <f>COA_Master!N85</f>
        <v/>
      </c>
    </row>
    <row r="87" ht="18" customHeight="1">
      <c r="A87" s="16">
        <f>COA_Master!A86</f>
        <v/>
      </c>
      <c r="B87" s="16">
        <f>COA_Master!B86</f>
        <v/>
      </c>
      <c r="C87" s="16">
        <f>COA_Master!D86</f>
        <v/>
      </c>
      <c r="D87" s="16">
        <f>COA_Master!E86</f>
        <v/>
      </c>
      <c r="E87" s="16">
        <f>COA_Master!F86</f>
        <v/>
      </c>
      <c r="F87" s="16">
        <f>COA_Master!G86</f>
        <v/>
      </c>
      <c r="G87" s="16">
        <f>COA_Master!H86</f>
        <v/>
      </c>
      <c r="H87" s="16">
        <f>COA_Master!I86</f>
        <v/>
      </c>
      <c r="I87" s="17">
        <f>COA_Master!M86</f>
        <v/>
      </c>
      <c r="J87" s="17">
        <f>SUMIFS(Journal_Input!$K$8:$K$184,Journal_Input!$A$8:$A$184,"Prior",Journal_Input!$G$8:$G$184,A87)</f>
        <v/>
      </c>
      <c r="K87" s="17">
        <f>SUMIFS(Journal_Input!$K$8:$K$184,Journal_Input!$A$8:$A$184,"Prior",Journal_Input!$I$8:$I$184,A87)</f>
        <v/>
      </c>
      <c r="L87" s="17">
        <f>IF(G87="Dr",I87+J87-K87,I87-J87+K87)</f>
        <v/>
      </c>
      <c r="M87" s="17">
        <f>L87</f>
        <v/>
      </c>
      <c r="N87" s="17">
        <f>SUMIFS(Journal_Input!$K$8:$K$184,Journal_Input!$A$8:$A$184,"Current",Journal_Input!$G$8:$G$184,A87)</f>
        <v/>
      </c>
      <c r="O87" s="17">
        <f>SUMIFS(Journal_Input!$K$8:$K$184,Journal_Input!$A$8:$A$184,"Current",Journal_Input!$I$8:$I$184,A87)</f>
        <v/>
      </c>
      <c r="P87" s="17">
        <f>IF(G87="Dr",M87+N87-O87,M87-N87+O87)</f>
        <v/>
      </c>
      <c r="Q87" s="17">
        <f>IF(C87="BS",L87*H87,IF(G87="Dr",(J87-K87)*H87,(K87-J87)*H87))</f>
        <v/>
      </c>
      <c r="R87" s="17">
        <f>IF(C87="BS",P87*H87,IF(G87="Dr",(N87-O87)*H87,(O87-N87)*H87))</f>
        <v/>
      </c>
      <c r="S87" s="16">
        <f>COA_Master!K86</f>
        <v/>
      </c>
      <c r="T87" s="16">
        <f>COA_Master!L86</f>
        <v/>
      </c>
      <c r="U87" s="16">
        <f>COA_Master!N86</f>
        <v/>
      </c>
    </row>
    <row r="88" ht="18" customHeight="1">
      <c r="A88" s="16">
        <f>COA_Master!A87</f>
        <v/>
      </c>
      <c r="B88" s="16">
        <f>COA_Master!B87</f>
        <v/>
      </c>
      <c r="C88" s="16">
        <f>COA_Master!D87</f>
        <v/>
      </c>
      <c r="D88" s="16">
        <f>COA_Master!E87</f>
        <v/>
      </c>
      <c r="E88" s="16">
        <f>COA_Master!F87</f>
        <v/>
      </c>
      <c r="F88" s="16">
        <f>COA_Master!G87</f>
        <v/>
      </c>
      <c r="G88" s="16">
        <f>COA_Master!H87</f>
        <v/>
      </c>
      <c r="H88" s="16">
        <f>COA_Master!I87</f>
        <v/>
      </c>
      <c r="I88" s="17">
        <f>COA_Master!M87</f>
        <v/>
      </c>
      <c r="J88" s="17">
        <f>SUMIFS(Journal_Input!$K$8:$K$184,Journal_Input!$A$8:$A$184,"Prior",Journal_Input!$G$8:$G$184,A88)</f>
        <v/>
      </c>
      <c r="K88" s="17">
        <f>SUMIFS(Journal_Input!$K$8:$K$184,Journal_Input!$A$8:$A$184,"Prior",Journal_Input!$I$8:$I$184,A88)</f>
        <v/>
      </c>
      <c r="L88" s="17">
        <f>IF(G88="Dr",I88+J88-K88,I88-J88+K88)</f>
        <v/>
      </c>
      <c r="M88" s="17">
        <f>L88</f>
        <v/>
      </c>
      <c r="N88" s="17">
        <f>SUMIFS(Journal_Input!$K$8:$K$184,Journal_Input!$A$8:$A$184,"Current",Journal_Input!$G$8:$G$184,A88)</f>
        <v/>
      </c>
      <c r="O88" s="17">
        <f>SUMIFS(Journal_Input!$K$8:$K$184,Journal_Input!$A$8:$A$184,"Current",Journal_Input!$I$8:$I$184,A88)</f>
        <v/>
      </c>
      <c r="P88" s="17">
        <f>IF(G88="Dr",M88+N88-O88,M88-N88+O88)</f>
        <v/>
      </c>
      <c r="Q88" s="17">
        <f>IF(C88="BS",L88*H88,IF(G88="Dr",(J88-K88)*H88,(K88-J88)*H88))</f>
        <v/>
      </c>
      <c r="R88" s="17">
        <f>IF(C88="BS",P88*H88,IF(G88="Dr",(N88-O88)*H88,(O88-N88)*H88))</f>
        <v/>
      </c>
      <c r="S88" s="16">
        <f>COA_Master!K87</f>
        <v/>
      </c>
      <c r="T88" s="16">
        <f>COA_Master!L87</f>
        <v/>
      </c>
      <c r="U88" s="16">
        <f>COA_Master!N87</f>
        <v/>
      </c>
    </row>
    <row r="89" ht="18" customHeight="1">
      <c r="A89" s="16">
        <f>COA_Master!A88</f>
        <v/>
      </c>
      <c r="B89" s="16">
        <f>COA_Master!B88</f>
        <v/>
      </c>
      <c r="C89" s="16">
        <f>COA_Master!D88</f>
        <v/>
      </c>
      <c r="D89" s="16">
        <f>COA_Master!E88</f>
        <v/>
      </c>
      <c r="E89" s="16">
        <f>COA_Master!F88</f>
        <v/>
      </c>
      <c r="F89" s="16">
        <f>COA_Master!G88</f>
        <v/>
      </c>
      <c r="G89" s="16">
        <f>COA_Master!H88</f>
        <v/>
      </c>
      <c r="H89" s="16">
        <f>COA_Master!I88</f>
        <v/>
      </c>
      <c r="I89" s="17">
        <f>COA_Master!M88</f>
        <v/>
      </c>
      <c r="J89" s="17">
        <f>SUMIFS(Journal_Input!$K$8:$K$184,Journal_Input!$A$8:$A$184,"Prior",Journal_Input!$G$8:$G$184,A89)</f>
        <v/>
      </c>
      <c r="K89" s="17">
        <f>SUMIFS(Journal_Input!$K$8:$K$184,Journal_Input!$A$8:$A$184,"Prior",Journal_Input!$I$8:$I$184,A89)</f>
        <v/>
      </c>
      <c r="L89" s="17">
        <f>IF(G89="Dr",I89+J89-K89,I89-J89+K89)</f>
        <v/>
      </c>
      <c r="M89" s="17">
        <f>L89</f>
        <v/>
      </c>
      <c r="N89" s="17">
        <f>SUMIFS(Journal_Input!$K$8:$K$184,Journal_Input!$A$8:$A$184,"Current",Journal_Input!$G$8:$G$184,A89)</f>
        <v/>
      </c>
      <c r="O89" s="17">
        <f>SUMIFS(Journal_Input!$K$8:$K$184,Journal_Input!$A$8:$A$184,"Current",Journal_Input!$I$8:$I$184,A89)</f>
        <v/>
      </c>
      <c r="P89" s="17">
        <f>IF(G89="Dr",M89+N89-O89,M89-N89+O89)</f>
        <v/>
      </c>
      <c r="Q89" s="17">
        <f>IF(C89="BS",L89*H89,IF(G89="Dr",(J89-K89)*H89,(K89-J89)*H89))</f>
        <v/>
      </c>
      <c r="R89" s="17">
        <f>IF(C89="BS",P89*H89,IF(G89="Dr",(N89-O89)*H89,(O89-N89)*H89))</f>
        <v/>
      </c>
      <c r="S89" s="16">
        <f>COA_Master!K88</f>
        <v/>
      </c>
      <c r="T89" s="16">
        <f>COA_Master!L88</f>
        <v/>
      </c>
      <c r="U89" s="16">
        <f>COA_Master!N88</f>
        <v/>
      </c>
    </row>
    <row r="90" ht="18" customHeight="1">
      <c r="A90" s="16">
        <f>COA_Master!A89</f>
        <v/>
      </c>
      <c r="B90" s="16">
        <f>COA_Master!B89</f>
        <v/>
      </c>
      <c r="C90" s="16">
        <f>COA_Master!D89</f>
        <v/>
      </c>
      <c r="D90" s="16">
        <f>COA_Master!E89</f>
        <v/>
      </c>
      <c r="E90" s="16">
        <f>COA_Master!F89</f>
        <v/>
      </c>
      <c r="F90" s="16">
        <f>COA_Master!G89</f>
        <v/>
      </c>
      <c r="G90" s="16">
        <f>COA_Master!H89</f>
        <v/>
      </c>
      <c r="H90" s="16">
        <f>COA_Master!I89</f>
        <v/>
      </c>
      <c r="I90" s="17">
        <f>COA_Master!M89</f>
        <v/>
      </c>
      <c r="J90" s="17">
        <f>SUMIFS(Journal_Input!$K$8:$K$184,Journal_Input!$A$8:$A$184,"Prior",Journal_Input!$G$8:$G$184,A90)</f>
        <v/>
      </c>
      <c r="K90" s="17">
        <f>SUMIFS(Journal_Input!$K$8:$K$184,Journal_Input!$A$8:$A$184,"Prior",Journal_Input!$I$8:$I$184,A90)</f>
        <v/>
      </c>
      <c r="L90" s="17">
        <f>IF(G90="Dr",I90+J90-K90,I90-J90+K90)</f>
        <v/>
      </c>
      <c r="M90" s="17">
        <f>L90</f>
        <v/>
      </c>
      <c r="N90" s="17">
        <f>SUMIFS(Journal_Input!$K$8:$K$184,Journal_Input!$A$8:$A$184,"Current",Journal_Input!$G$8:$G$184,A90)</f>
        <v/>
      </c>
      <c r="O90" s="17">
        <f>SUMIFS(Journal_Input!$K$8:$K$184,Journal_Input!$A$8:$A$184,"Current",Journal_Input!$I$8:$I$184,A90)</f>
        <v/>
      </c>
      <c r="P90" s="17">
        <f>IF(G90="Dr",M90+N90-O90,M90-N90+O90)</f>
        <v/>
      </c>
      <c r="Q90" s="17">
        <f>IF(C90="BS",L90*H90,IF(G90="Dr",(J90-K90)*H90,(K90-J90)*H90))</f>
        <v/>
      </c>
      <c r="R90" s="17">
        <f>IF(C90="BS",P90*H90,IF(G90="Dr",(N90-O90)*H90,(O90-N90)*H90))</f>
        <v/>
      </c>
      <c r="S90" s="16">
        <f>COA_Master!K89</f>
        <v/>
      </c>
      <c r="T90" s="16">
        <f>COA_Master!L89</f>
        <v/>
      </c>
      <c r="U90" s="16">
        <f>COA_Master!N89</f>
        <v/>
      </c>
    </row>
    <row r="91" ht="18" customHeight="1">
      <c r="A91" s="16">
        <f>COA_Master!A90</f>
        <v/>
      </c>
      <c r="B91" s="16">
        <f>COA_Master!B90</f>
        <v/>
      </c>
      <c r="C91" s="16">
        <f>COA_Master!D90</f>
        <v/>
      </c>
      <c r="D91" s="16">
        <f>COA_Master!E90</f>
        <v/>
      </c>
      <c r="E91" s="16">
        <f>COA_Master!F90</f>
        <v/>
      </c>
      <c r="F91" s="16">
        <f>COA_Master!G90</f>
        <v/>
      </c>
      <c r="G91" s="16">
        <f>COA_Master!H90</f>
        <v/>
      </c>
      <c r="H91" s="16">
        <f>COA_Master!I90</f>
        <v/>
      </c>
      <c r="I91" s="17">
        <f>COA_Master!M90</f>
        <v/>
      </c>
      <c r="J91" s="17">
        <f>SUMIFS(Journal_Input!$K$8:$K$184,Journal_Input!$A$8:$A$184,"Prior",Journal_Input!$G$8:$G$184,A91)</f>
        <v/>
      </c>
      <c r="K91" s="17">
        <f>SUMIFS(Journal_Input!$K$8:$K$184,Journal_Input!$A$8:$A$184,"Prior",Journal_Input!$I$8:$I$184,A91)</f>
        <v/>
      </c>
      <c r="L91" s="17">
        <f>IF(G91="Dr",I91+J91-K91,I91-J91+K91)</f>
        <v/>
      </c>
      <c r="M91" s="17">
        <f>L91</f>
        <v/>
      </c>
      <c r="N91" s="17">
        <f>SUMIFS(Journal_Input!$K$8:$K$184,Journal_Input!$A$8:$A$184,"Current",Journal_Input!$G$8:$G$184,A91)</f>
        <v/>
      </c>
      <c r="O91" s="17">
        <f>SUMIFS(Journal_Input!$K$8:$K$184,Journal_Input!$A$8:$A$184,"Current",Journal_Input!$I$8:$I$184,A91)</f>
        <v/>
      </c>
      <c r="P91" s="17">
        <f>IF(G91="Dr",M91+N91-O91,M91-N91+O91)</f>
        <v/>
      </c>
      <c r="Q91" s="17">
        <f>IF(C91="BS",L91*H91,IF(G91="Dr",(J91-K91)*H91,(K91-J91)*H91))</f>
        <v/>
      </c>
      <c r="R91" s="17">
        <f>IF(C91="BS",P91*H91,IF(G91="Dr",(N91-O91)*H91,(O91-N91)*H91))</f>
        <v/>
      </c>
      <c r="S91" s="16">
        <f>COA_Master!K90</f>
        <v/>
      </c>
      <c r="T91" s="16">
        <f>COA_Master!L90</f>
        <v/>
      </c>
      <c r="U91" s="16">
        <f>COA_Master!N90</f>
        <v/>
      </c>
    </row>
    <row r="92" ht="18" customHeight="1">
      <c r="A92" s="16">
        <f>COA_Master!A91</f>
        <v/>
      </c>
      <c r="B92" s="16">
        <f>COA_Master!B91</f>
        <v/>
      </c>
      <c r="C92" s="16">
        <f>COA_Master!D91</f>
        <v/>
      </c>
      <c r="D92" s="16">
        <f>COA_Master!E91</f>
        <v/>
      </c>
      <c r="E92" s="16">
        <f>COA_Master!F91</f>
        <v/>
      </c>
      <c r="F92" s="16">
        <f>COA_Master!G91</f>
        <v/>
      </c>
      <c r="G92" s="16">
        <f>COA_Master!H91</f>
        <v/>
      </c>
      <c r="H92" s="16">
        <f>COA_Master!I91</f>
        <v/>
      </c>
      <c r="I92" s="17">
        <f>COA_Master!M91</f>
        <v/>
      </c>
      <c r="J92" s="17">
        <f>SUMIFS(Journal_Input!$K$8:$K$184,Journal_Input!$A$8:$A$184,"Prior",Journal_Input!$G$8:$G$184,A92)</f>
        <v/>
      </c>
      <c r="K92" s="17">
        <f>SUMIFS(Journal_Input!$K$8:$K$184,Journal_Input!$A$8:$A$184,"Prior",Journal_Input!$I$8:$I$184,A92)</f>
        <v/>
      </c>
      <c r="L92" s="17">
        <f>IF(G92="Dr",I92+J92-K92,I92-J92+K92)</f>
        <v/>
      </c>
      <c r="M92" s="17">
        <f>L92</f>
        <v/>
      </c>
      <c r="N92" s="17">
        <f>SUMIFS(Journal_Input!$K$8:$K$184,Journal_Input!$A$8:$A$184,"Current",Journal_Input!$G$8:$G$184,A92)</f>
        <v/>
      </c>
      <c r="O92" s="17">
        <f>SUMIFS(Journal_Input!$K$8:$K$184,Journal_Input!$A$8:$A$184,"Current",Journal_Input!$I$8:$I$184,A92)</f>
        <v/>
      </c>
      <c r="P92" s="17">
        <f>IF(G92="Dr",M92+N92-O92,M92-N92+O92)</f>
        <v/>
      </c>
      <c r="Q92" s="17">
        <f>IF(C92="BS",L92*H92,IF(G92="Dr",(J92-K92)*H92,(K92-J92)*H92))</f>
        <v/>
      </c>
      <c r="R92" s="17">
        <f>IF(C92="BS",P92*H92,IF(G92="Dr",(N92-O92)*H92,(O92-N92)*H92))</f>
        <v/>
      </c>
      <c r="S92" s="16">
        <f>COA_Master!K91</f>
        <v/>
      </c>
      <c r="T92" s="16">
        <f>COA_Master!L91</f>
        <v/>
      </c>
      <c r="U92" s="16">
        <f>COA_Master!N91</f>
        <v/>
      </c>
    </row>
    <row r="93" ht="18" customHeight="1">
      <c r="A93" s="16">
        <f>COA_Master!A92</f>
        <v/>
      </c>
      <c r="B93" s="16">
        <f>COA_Master!B92</f>
        <v/>
      </c>
      <c r="C93" s="16">
        <f>COA_Master!D92</f>
        <v/>
      </c>
      <c r="D93" s="16">
        <f>COA_Master!E92</f>
        <v/>
      </c>
      <c r="E93" s="16">
        <f>COA_Master!F92</f>
        <v/>
      </c>
      <c r="F93" s="16">
        <f>COA_Master!G92</f>
        <v/>
      </c>
      <c r="G93" s="16">
        <f>COA_Master!H92</f>
        <v/>
      </c>
      <c r="H93" s="16">
        <f>COA_Master!I92</f>
        <v/>
      </c>
      <c r="I93" s="17">
        <f>COA_Master!M92</f>
        <v/>
      </c>
      <c r="J93" s="17">
        <f>SUMIFS(Journal_Input!$K$8:$K$184,Journal_Input!$A$8:$A$184,"Prior",Journal_Input!$G$8:$G$184,A93)</f>
        <v/>
      </c>
      <c r="K93" s="17">
        <f>SUMIFS(Journal_Input!$K$8:$K$184,Journal_Input!$A$8:$A$184,"Prior",Journal_Input!$I$8:$I$184,A93)</f>
        <v/>
      </c>
      <c r="L93" s="17">
        <f>IF(G93="Dr",I93+J93-K93,I93-J93+K93)</f>
        <v/>
      </c>
      <c r="M93" s="17">
        <f>L93</f>
        <v/>
      </c>
      <c r="N93" s="17">
        <f>SUMIFS(Journal_Input!$K$8:$K$184,Journal_Input!$A$8:$A$184,"Current",Journal_Input!$G$8:$G$184,A93)</f>
        <v/>
      </c>
      <c r="O93" s="17">
        <f>SUMIFS(Journal_Input!$K$8:$K$184,Journal_Input!$A$8:$A$184,"Current",Journal_Input!$I$8:$I$184,A93)</f>
        <v/>
      </c>
      <c r="P93" s="17">
        <f>IF(G93="Dr",M93+N93-O93,M93-N93+O93)</f>
        <v/>
      </c>
      <c r="Q93" s="17">
        <f>IF(C93="BS",L93*H93,IF(G93="Dr",(J93-K93)*H93,(K93-J93)*H93))</f>
        <v/>
      </c>
      <c r="R93" s="17">
        <f>IF(C93="BS",P93*H93,IF(G93="Dr",(N93-O93)*H93,(O93-N93)*H93))</f>
        <v/>
      </c>
      <c r="S93" s="16">
        <f>COA_Master!K92</f>
        <v/>
      </c>
      <c r="T93" s="16">
        <f>COA_Master!L92</f>
        <v/>
      </c>
      <c r="U93" s="16">
        <f>COA_Master!N92</f>
        <v/>
      </c>
    </row>
    <row r="94" ht="18" customHeight="1">
      <c r="A94" s="16">
        <f>COA_Master!A93</f>
        <v/>
      </c>
      <c r="B94" s="16">
        <f>COA_Master!B93</f>
        <v/>
      </c>
      <c r="C94" s="16">
        <f>COA_Master!D93</f>
        <v/>
      </c>
      <c r="D94" s="16">
        <f>COA_Master!E93</f>
        <v/>
      </c>
      <c r="E94" s="16">
        <f>COA_Master!F93</f>
        <v/>
      </c>
      <c r="F94" s="16">
        <f>COA_Master!G93</f>
        <v/>
      </c>
      <c r="G94" s="16">
        <f>COA_Master!H93</f>
        <v/>
      </c>
      <c r="H94" s="16">
        <f>COA_Master!I93</f>
        <v/>
      </c>
      <c r="I94" s="17">
        <f>COA_Master!M93</f>
        <v/>
      </c>
      <c r="J94" s="17">
        <f>SUMIFS(Journal_Input!$K$8:$K$184,Journal_Input!$A$8:$A$184,"Prior",Journal_Input!$G$8:$G$184,A94)</f>
        <v/>
      </c>
      <c r="K94" s="17">
        <f>SUMIFS(Journal_Input!$K$8:$K$184,Journal_Input!$A$8:$A$184,"Prior",Journal_Input!$I$8:$I$184,A94)</f>
        <v/>
      </c>
      <c r="L94" s="17">
        <f>IF(G94="Dr",I94+J94-K94,I94-J94+K94)</f>
        <v/>
      </c>
      <c r="M94" s="17">
        <f>L94</f>
        <v/>
      </c>
      <c r="N94" s="17">
        <f>SUMIFS(Journal_Input!$K$8:$K$184,Journal_Input!$A$8:$A$184,"Current",Journal_Input!$G$8:$G$184,A94)</f>
        <v/>
      </c>
      <c r="O94" s="17">
        <f>SUMIFS(Journal_Input!$K$8:$K$184,Journal_Input!$A$8:$A$184,"Current",Journal_Input!$I$8:$I$184,A94)</f>
        <v/>
      </c>
      <c r="P94" s="17">
        <f>IF(G94="Dr",M94+N94-O94,M94-N94+O94)</f>
        <v/>
      </c>
      <c r="Q94" s="17">
        <f>IF(C94="BS",L94*H94,IF(G94="Dr",(J94-K94)*H94,(K94-J94)*H94))</f>
        <v/>
      </c>
      <c r="R94" s="17">
        <f>IF(C94="BS",P94*H94,IF(G94="Dr",(N94-O94)*H94,(O94-N94)*H94))</f>
        <v/>
      </c>
      <c r="S94" s="16">
        <f>COA_Master!K93</f>
        <v/>
      </c>
      <c r="T94" s="16">
        <f>COA_Master!L93</f>
        <v/>
      </c>
      <c r="U94" s="16">
        <f>COA_Master!N93</f>
        <v/>
      </c>
    </row>
    <row r="95" ht="18" customHeight="1">
      <c r="A95" s="16">
        <f>COA_Master!A94</f>
        <v/>
      </c>
      <c r="B95" s="16">
        <f>COA_Master!B94</f>
        <v/>
      </c>
      <c r="C95" s="16">
        <f>COA_Master!D94</f>
        <v/>
      </c>
      <c r="D95" s="16">
        <f>COA_Master!E94</f>
        <v/>
      </c>
      <c r="E95" s="16">
        <f>COA_Master!F94</f>
        <v/>
      </c>
      <c r="F95" s="16">
        <f>COA_Master!G94</f>
        <v/>
      </c>
      <c r="G95" s="16">
        <f>COA_Master!H94</f>
        <v/>
      </c>
      <c r="H95" s="16">
        <f>COA_Master!I94</f>
        <v/>
      </c>
      <c r="I95" s="17">
        <f>COA_Master!M94</f>
        <v/>
      </c>
      <c r="J95" s="17">
        <f>SUMIFS(Journal_Input!$K$8:$K$184,Journal_Input!$A$8:$A$184,"Prior",Journal_Input!$G$8:$G$184,A95)</f>
        <v/>
      </c>
      <c r="K95" s="17">
        <f>SUMIFS(Journal_Input!$K$8:$K$184,Journal_Input!$A$8:$A$184,"Prior",Journal_Input!$I$8:$I$184,A95)</f>
        <v/>
      </c>
      <c r="L95" s="17">
        <f>IF(G95="Dr",I95+J95-K95,I95-J95+K95)</f>
        <v/>
      </c>
      <c r="M95" s="17">
        <f>L95</f>
        <v/>
      </c>
      <c r="N95" s="17">
        <f>SUMIFS(Journal_Input!$K$8:$K$184,Journal_Input!$A$8:$A$184,"Current",Journal_Input!$G$8:$G$184,A95)</f>
        <v/>
      </c>
      <c r="O95" s="17">
        <f>SUMIFS(Journal_Input!$K$8:$K$184,Journal_Input!$A$8:$A$184,"Current",Journal_Input!$I$8:$I$184,A95)</f>
        <v/>
      </c>
      <c r="P95" s="17">
        <f>IF(G95="Dr",M95+N95-O95,M95-N95+O95)</f>
        <v/>
      </c>
      <c r="Q95" s="17">
        <f>IF(C95="BS",L95*H95,IF(G95="Dr",(J95-K95)*H95,(K95-J95)*H95))</f>
        <v/>
      </c>
      <c r="R95" s="17">
        <f>IF(C95="BS",P95*H95,IF(G95="Dr",(N95-O95)*H95,(O95-N95)*H95))</f>
        <v/>
      </c>
      <c r="S95" s="16">
        <f>COA_Master!K94</f>
        <v/>
      </c>
      <c r="T95" s="16">
        <f>COA_Master!L94</f>
        <v/>
      </c>
      <c r="U95" s="16">
        <f>COA_Master!N94</f>
        <v/>
      </c>
    </row>
    <row r="96" ht="18" customHeight="1">
      <c r="A96" s="16">
        <f>COA_Master!A95</f>
        <v/>
      </c>
      <c r="B96" s="16">
        <f>COA_Master!B95</f>
        <v/>
      </c>
      <c r="C96" s="16">
        <f>COA_Master!D95</f>
        <v/>
      </c>
      <c r="D96" s="16">
        <f>COA_Master!E95</f>
        <v/>
      </c>
      <c r="E96" s="16">
        <f>COA_Master!F95</f>
        <v/>
      </c>
      <c r="F96" s="16">
        <f>COA_Master!G95</f>
        <v/>
      </c>
      <c r="G96" s="16">
        <f>COA_Master!H95</f>
        <v/>
      </c>
      <c r="H96" s="16">
        <f>COA_Master!I95</f>
        <v/>
      </c>
      <c r="I96" s="17">
        <f>COA_Master!M95</f>
        <v/>
      </c>
      <c r="J96" s="17">
        <f>SUMIFS(Journal_Input!$K$8:$K$184,Journal_Input!$A$8:$A$184,"Prior",Journal_Input!$G$8:$G$184,A96)</f>
        <v/>
      </c>
      <c r="K96" s="17">
        <f>SUMIFS(Journal_Input!$K$8:$K$184,Journal_Input!$A$8:$A$184,"Prior",Journal_Input!$I$8:$I$184,A96)</f>
        <v/>
      </c>
      <c r="L96" s="17">
        <f>IF(G96="Dr",I96+J96-K96,I96-J96+K96)</f>
        <v/>
      </c>
      <c r="M96" s="17">
        <f>L96</f>
        <v/>
      </c>
      <c r="N96" s="17">
        <f>SUMIFS(Journal_Input!$K$8:$K$184,Journal_Input!$A$8:$A$184,"Current",Journal_Input!$G$8:$G$184,A96)</f>
        <v/>
      </c>
      <c r="O96" s="17">
        <f>SUMIFS(Journal_Input!$K$8:$K$184,Journal_Input!$A$8:$A$184,"Current",Journal_Input!$I$8:$I$184,A96)</f>
        <v/>
      </c>
      <c r="P96" s="17">
        <f>IF(G96="Dr",M96+N96-O96,M96-N96+O96)</f>
        <v/>
      </c>
      <c r="Q96" s="17">
        <f>IF(C96="BS",L96*H96,IF(G96="Dr",(J96-K96)*H96,(K96-J96)*H96))</f>
        <v/>
      </c>
      <c r="R96" s="17">
        <f>IF(C96="BS",P96*H96,IF(G96="Dr",(N96-O96)*H96,(O96-N96)*H96))</f>
        <v/>
      </c>
      <c r="S96" s="16">
        <f>COA_Master!K95</f>
        <v/>
      </c>
      <c r="T96" s="16">
        <f>COA_Master!L95</f>
        <v/>
      </c>
      <c r="U96" s="16">
        <f>COA_Master!N95</f>
        <v/>
      </c>
    </row>
    <row r="97" ht="18" customHeight="1">
      <c r="A97" s="16">
        <f>COA_Master!A96</f>
        <v/>
      </c>
      <c r="B97" s="16">
        <f>COA_Master!B96</f>
        <v/>
      </c>
      <c r="C97" s="16">
        <f>COA_Master!D96</f>
        <v/>
      </c>
      <c r="D97" s="16">
        <f>COA_Master!E96</f>
        <v/>
      </c>
      <c r="E97" s="16">
        <f>COA_Master!F96</f>
        <v/>
      </c>
      <c r="F97" s="16">
        <f>COA_Master!G96</f>
        <v/>
      </c>
      <c r="G97" s="16">
        <f>COA_Master!H96</f>
        <v/>
      </c>
      <c r="H97" s="16">
        <f>COA_Master!I96</f>
        <v/>
      </c>
      <c r="I97" s="17">
        <f>COA_Master!M96</f>
        <v/>
      </c>
      <c r="J97" s="17">
        <f>SUMIFS(Journal_Input!$K$8:$K$184,Journal_Input!$A$8:$A$184,"Prior",Journal_Input!$G$8:$G$184,A97)</f>
        <v/>
      </c>
      <c r="K97" s="17">
        <f>SUMIFS(Journal_Input!$K$8:$K$184,Journal_Input!$A$8:$A$184,"Prior",Journal_Input!$I$8:$I$184,A97)</f>
        <v/>
      </c>
      <c r="L97" s="17">
        <f>IF(G97="Dr",I97+J97-K97,I97-J97+K97)</f>
        <v/>
      </c>
      <c r="M97" s="17">
        <f>L97</f>
        <v/>
      </c>
      <c r="N97" s="17">
        <f>SUMIFS(Journal_Input!$K$8:$K$184,Journal_Input!$A$8:$A$184,"Current",Journal_Input!$G$8:$G$184,A97)</f>
        <v/>
      </c>
      <c r="O97" s="17">
        <f>SUMIFS(Journal_Input!$K$8:$K$184,Journal_Input!$A$8:$A$184,"Current",Journal_Input!$I$8:$I$184,A97)</f>
        <v/>
      </c>
      <c r="P97" s="17">
        <f>IF(G97="Dr",M97+N97-O97,M97-N97+O97)</f>
        <v/>
      </c>
      <c r="Q97" s="17">
        <f>IF(C97="BS",L97*H97,IF(G97="Dr",(J97-K97)*H97,(K97-J97)*H97))</f>
        <v/>
      </c>
      <c r="R97" s="17">
        <f>IF(C97="BS",P97*H97,IF(G97="Dr",(N97-O97)*H97,(O97-N97)*H97))</f>
        <v/>
      </c>
      <c r="S97" s="16">
        <f>COA_Master!K96</f>
        <v/>
      </c>
      <c r="T97" s="16">
        <f>COA_Master!L96</f>
        <v/>
      </c>
      <c r="U97" s="16">
        <f>COA_Master!N96</f>
        <v/>
      </c>
    </row>
    <row r="98" ht="18" customHeight="1">
      <c r="A98" s="16">
        <f>COA_Master!A97</f>
        <v/>
      </c>
      <c r="B98" s="16">
        <f>COA_Master!B97</f>
        <v/>
      </c>
      <c r="C98" s="16">
        <f>COA_Master!D97</f>
        <v/>
      </c>
      <c r="D98" s="16">
        <f>COA_Master!E97</f>
        <v/>
      </c>
      <c r="E98" s="16">
        <f>COA_Master!F97</f>
        <v/>
      </c>
      <c r="F98" s="16">
        <f>COA_Master!G97</f>
        <v/>
      </c>
      <c r="G98" s="16">
        <f>COA_Master!H97</f>
        <v/>
      </c>
      <c r="H98" s="16">
        <f>COA_Master!I97</f>
        <v/>
      </c>
      <c r="I98" s="17">
        <f>COA_Master!M97</f>
        <v/>
      </c>
      <c r="J98" s="17">
        <f>SUMIFS(Journal_Input!$K$8:$K$184,Journal_Input!$A$8:$A$184,"Prior",Journal_Input!$G$8:$G$184,A98)</f>
        <v/>
      </c>
      <c r="K98" s="17">
        <f>SUMIFS(Journal_Input!$K$8:$K$184,Journal_Input!$A$8:$A$184,"Prior",Journal_Input!$I$8:$I$184,A98)</f>
        <v/>
      </c>
      <c r="L98" s="17">
        <f>IF(G98="Dr",I98+J98-K98,I98-J98+K98)</f>
        <v/>
      </c>
      <c r="M98" s="17">
        <f>L98</f>
        <v/>
      </c>
      <c r="N98" s="17">
        <f>SUMIFS(Journal_Input!$K$8:$K$184,Journal_Input!$A$8:$A$184,"Current",Journal_Input!$G$8:$G$184,A98)</f>
        <v/>
      </c>
      <c r="O98" s="17">
        <f>SUMIFS(Journal_Input!$K$8:$K$184,Journal_Input!$A$8:$A$184,"Current",Journal_Input!$I$8:$I$184,A98)</f>
        <v/>
      </c>
      <c r="P98" s="17">
        <f>IF(G98="Dr",M98+N98-O98,M98-N98+O98)</f>
        <v/>
      </c>
      <c r="Q98" s="17">
        <f>IF(C98="BS",L98*H98,IF(G98="Dr",(J98-K98)*H98,(K98-J98)*H98))</f>
        <v/>
      </c>
      <c r="R98" s="17">
        <f>IF(C98="BS",P98*H98,IF(G98="Dr",(N98-O98)*H98,(O98-N98)*H98))</f>
        <v/>
      </c>
      <c r="S98" s="16">
        <f>COA_Master!K97</f>
        <v/>
      </c>
      <c r="T98" s="16">
        <f>COA_Master!L97</f>
        <v/>
      </c>
      <c r="U98" s="16">
        <f>COA_Master!N97</f>
        <v/>
      </c>
    </row>
    <row r="99" ht="18" customHeight="1">
      <c r="A99" s="16">
        <f>COA_Master!A98</f>
        <v/>
      </c>
      <c r="B99" s="16">
        <f>COA_Master!B98</f>
        <v/>
      </c>
      <c r="C99" s="16">
        <f>COA_Master!D98</f>
        <v/>
      </c>
      <c r="D99" s="16">
        <f>COA_Master!E98</f>
        <v/>
      </c>
      <c r="E99" s="16">
        <f>COA_Master!F98</f>
        <v/>
      </c>
      <c r="F99" s="16">
        <f>COA_Master!G98</f>
        <v/>
      </c>
      <c r="G99" s="16">
        <f>COA_Master!H98</f>
        <v/>
      </c>
      <c r="H99" s="16">
        <f>COA_Master!I98</f>
        <v/>
      </c>
      <c r="I99" s="17">
        <f>COA_Master!M98</f>
        <v/>
      </c>
      <c r="J99" s="17">
        <f>SUMIFS(Journal_Input!$K$8:$K$184,Journal_Input!$A$8:$A$184,"Prior",Journal_Input!$G$8:$G$184,A99)</f>
        <v/>
      </c>
      <c r="K99" s="17">
        <f>SUMIFS(Journal_Input!$K$8:$K$184,Journal_Input!$A$8:$A$184,"Prior",Journal_Input!$I$8:$I$184,A99)</f>
        <v/>
      </c>
      <c r="L99" s="17">
        <f>IF(G99="Dr",I99+J99-K99,I99-J99+K99)</f>
        <v/>
      </c>
      <c r="M99" s="17">
        <f>L99</f>
        <v/>
      </c>
      <c r="N99" s="17">
        <f>SUMIFS(Journal_Input!$K$8:$K$184,Journal_Input!$A$8:$A$184,"Current",Journal_Input!$G$8:$G$184,A99)</f>
        <v/>
      </c>
      <c r="O99" s="17">
        <f>SUMIFS(Journal_Input!$K$8:$K$184,Journal_Input!$A$8:$A$184,"Current",Journal_Input!$I$8:$I$184,A99)</f>
        <v/>
      </c>
      <c r="P99" s="17">
        <f>IF(G99="Dr",M99+N99-O99,M99-N99+O99)</f>
        <v/>
      </c>
      <c r="Q99" s="17">
        <f>IF(C99="BS",L99*H99,IF(G99="Dr",(J99-K99)*H99,(K99-J99)*H99))</f>
        <v/>
      </c>
      <c r="R99" s="17">
        <f>IF(C99="BS",P99*H99,IF(G99="Dr",(N99-O99)*H99,(O99-N99)*H99))</f>
        <v/>
      </c>
      <c r="S99" s="16">
        <f>COA_Master!K98</f>
        <v/>
      </c>
      <c r="T99" s="16">
        <f>COA_Master!L98</f>
        <v/>
      </c>
      <c r="U99" s="16">
        <f>COA_Master!N98</f>
        <v/>
      </c>
    </row>
    <row r="100" ht="18" customHeight="1">
      <c r="A100" s="16">
        <f>COA_Master!A99</f>
        <v/>
      </c>
      <c r="B100" s="16">
        <f>COA_Master!B99</f>
        <v/>
      </c>
      <c r="C100" s="16">
        <f>COA_Master!D99</f>
        <v/>
      </c>
      <c r="D100" s="16">
        <f>COA_Master!E99</f>
        <v/>
      </c>
      <c r="E100" s="16">
        <f>COA_Master!F99</f>
        <v/>
      </c>
      <c r="F100" s="16">
        <f>COA_Master!G99</f>
        <v/>
      </c>
      <c r="G100" s="16">
        <f>COA_Master!H99</f>
        <v/>
      </c>
      <c r="H100" s="16">
        <f>COA_Master!I99</f>
        <v/>
      </c>
      <c r="I100" s="17">
        <f>COA_Master!M99</f>
        <v/>
      </c>
      <c r="J100" s="17">
        <f>SUMIFS(Journal_Input!$K$8:$K$184,Journal_Input!$A$8:$A$184,"Prior",Journal_Input!$G$8:$G$184,A100)</f>
        <v/>
      </c>
      <c r="K100" s="17">
        <f>SUMIFS(Journal_Input!$K$8:$K$184,Journal_Input!$A$8:$A$184,"Prior",Journal_Input!$I$8:$I$184,A100)</f>
        <v/>
      </c>
      <c r="L100" s="17">
        <f>IF(G100="Dr",I100+J100-K100,I100-J100+K100)</f>
        <v/>
      </c>
      <c r="M100" s="17">
        <f>L100</f>
        <v/>
      </c>
      <c r="N100" s="17">
        <f>SUMIFS(Journal_Input!$K$8:$K$184,Journal_Input!$A$8:$A$184,"Current",Journal_Input!$G$8:$G$184,A100)</f>
        <v/>
      </c>
      <c r="O100" s="17">
        <f>SUMIFS(Journal_Input!$K$8:$K$184,Journal_Input!$A$8:$A$184,"Current",Journal_Input!$I$8:$I$184,A100)</f>
        <v/>
      </c>
      <c r="P100" s="17">
        <f>IF(G100="Dr",M100+N100-O100,M100-N100+O100)</f>
        <v/>
      </c>
      <c r="Q100" s="17">
        <f>IF(C100="BS",L100*H100,IF(G100="Dr",(J100-K100)*H100,(K100-J100)*H100))</f>
        <v/>
      </c>
      <c r="R100" s="17">
        <f>IF(C100="BS",P100*H100,IF(G100="Dr",(N100-O100)*H100,(O100-N100)*H100))</f>
        <v/>
      </c>
      <c r="S100" s="16">
        <f>COA_Master!K99</f>
        <v/>
      </c>
      <c r="T100" s="16">
        <f>COA_Master!L99</f>
        <v/>
      </c>
      <c r="U100" s="16">
        <f>COA_Master!N99</f>
        <v/>
      </c>
    </row>
    <row r="101" ht="18" customHeight="1">
      <c r="A101" s="16">
        <f>COA_Master!A100</f>
        <v/>
      </c>
      <c r="B101" s="16">
        <f>COA_Master!B100</f>
        <v/>
      </c>
      <c r="C101" s="16">
        <f>COA_Master!D100</f>
        <v/>
      </c>
      <c r="D101" s="16">
        <f>COA_Master!E100</f>
        <v/>
      </c>
      <c r="E101" s="16">
        <f>COA_Master!F100</f>
        <v/>
      </c>
      <c r="F101" s="16">
        <f>COA_Master!G100</f>
        <v/>
      </c>
      <c r="G101" s="16">
        <f>COA_Master!H100</f>
        <v/>
      </c>
      <c r="H101" s="16">
        <f>COA_Master!I100</f>
        <v/>
      </c>
      <c r="I101" s="17">
        <f>COA_Master!M100</f>
        <v/>
      </c>
      <c r="J101" s="17">
        <f>SUMIFS(Journal_Input!$K$8:$K$184,Journal_Input!$A$8:$A$184,"Prior",Journal_Input!$G$8:$G$184,A101)</f>
        <v/>
      </c>
      <c r="K101" s="17">
        <f>SUMIFS(Journal_Input!$K$8:$K$184,Journal_Input!$A$8:$A$184,"Prior",Journal_Input!$I$8:$I$184,A101)</f>
        <v/>
      </c>
      <c r="L101" s="17">
        <f>IF(G101="Dr",I101+J101-K101,I101-J101+K101)</f>
        <v/>
      </c>
      <c r="M101" s="17">
        <f>L101</f>
        <v/>
      </c>
      <c r="N101" s="17">
        <f>SUMIFS(Journal_Input!$K$8:$K$184,Journal_Input!$A$8:$A$184,"Current",Journal_Input!$G$8:$G$184,A101)</f>
        <v/>
      </c>
      <c r="O101" s="17">
        <f>SUMIFS(Journal_Input!$K$8:$K$184,Journal_Input!$A$8:$A$184,"Current",Journal_Input!$I$8:$I$184,A101)</f>
        <v/>
      </c>
      <c r="P101" s="17">
        <f>IF(G101="Dr",M101+N101-O101,M101-N101+O101)</f>
        <v/>
      </c>
      <c r="Q101" s="17">
        <f>IF(C101="BS",L101*H101,IF(G101="Dr",(J101-K101)*H101,(K101-J101)*H101))</f>
        <v/>
      </c>
      <c r="R101" s="17">
        <f>IF(C101="BS",P101*H101,IF(G101="Dr",(N101-O101)*H101,(O101-N101)*H101))</f>
        <v/>
      </c>
      <c r="S101" s="16">
        <f>COA_Master!K100</f>
        <v/>
      </c>
      <c r="T101" s="16">
        <f>COA_Master!L100</f>
        <v/>
      </c>
      <c r="U101" s="16">
        <f>COA_Master!N100</f>
        <v/>
      </c>
    </row>
    <row r="102" ht="18" customHeight="1">
      <c r="A102" s="18" t="inlineStr">
        <is>
          <t>TOTAL</t>
        </is>
      </c>
      <c r="B102" s="18" t="n"/>
      <c r="C102" s="18" t="n"/>
      <c r="D102" s="18" t="n"/>
      <c r="E102" s="18" t="n"/>
      <c r="F102" s="18" t="n"/>
      <c r="G102" s="18" t="n"/>
      <c r="H102" s="18" t="n"/>
      <c r="I102" s="19">
        <f>SUM(I6:I101)</f>
        <v/>
      </c>
      <c r="J102" s="19">
        <f>SUM(J6:J101)</f>
        <v/>
      </c>
      <c r="K102" s="19">
        <f>SUM(K6:K101)</f>
        <v/>
      </c>
      <c r="L102" s="19">
        <f>SUM(L6:L101)</f>
        <v/>
      </c>
      <c r="M102" s="19">
        <f>SUM(M6:M101)</f>
        <v/>
      </c>
      <c r="N102" s="19">
        <f>SUM(N6:N101)</f>
        <v/>
      </c>
      <c r="O102" s="19">
        <f>SUM(O6:O101)</f>
        <v/>
      </c>
      <c r="P102" s="19">
        <f>SUM(P6:P101)</f>
        <v/>
      </c>
      <c r="Q102" s="19">
        <f>SUM(Q6:Q101)</f>
        <v/>
      </c>
      <c r="R102" s="19">
        <f>SUM(R6:R101)</f>
        <v/>
      </c>
      <c r="S102" s="18" t="n"/>
      <c r="T102" s="18" t="n"/>
      <c r="U102" s="18" t="n"/>
    </row>
    <row r="103" ht="18" customHeight="1">
      <c r="A103" t="inlineStr">
        <is>
          <t>Check</t>
        </is>
      </c>
      <c r="B103" t="inlineStr">
        <is>
          <t>前期借貸差額</t>
        </is>
      </c>
      <c r="C103" s="20">
        <f>J102-K102</f>
        <v/>
      </c>
    </row>
    <row r="104" ht="18" customHeight="1">
      <c r="B104" t="inlineStr">
        <is>
          <t>当期借貸差額</t>
        </is>
      </c>
      <c r="C104" s="20">
        <f>N102-O102</f>
        <v/>
      </c>
    </row>
  </sheetData>
  <mergeCells count="1">
    <mergeCell ref="A1:U1"/>
  </mergeCells>
  <conditionalFormatting sqref="C103:C104">
    <cfRule type="cellIs" priority="1" operator="notEqual" dxfId="0">
      <formula>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N1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0" customWidth="1" min="4" max="4"/>
    <col width="14" customWidth="1" min="5" max="5"/>
    <col width="18" customWidth="1" min="6" max="6"/>
    <col width="36" customWidth="1" min="7" max="7"/>
    <col width="10" customWidth="1" min="8" max="8"/>
    <col width="12" customWidth="1" min="9" max="9"/>
    <col width="14" customWidth="1" min="10" max="10"/>
    <col width="14" customWidth="1" min="11" max="11"/>
    <col width="18" customWidth="1" min="12" max="12"/>
    <col width="15" customWidth="1" min="13" max="13"/>
    <col width="20" customWidth="1" min="14" max="14"/>
  </cols>
  <sheetData>
    <row r="1" ht="18" customHeight="1">
      <c r="A1" s="1" t="inlineStr">
        <is>
          <t>勘定科目マスター（分析拡張版）</t>
        </is>
      </c>
    </row>
    <row r="2" ht="18" customHeight="1"/>
    <row r="3" ht="18" customHeight="1"/>
    <row r="4" ht="18" customHeight="1">
      <c r="A4" s="4" t="inlineStr">
        <is>
          <t>Code</t>
        </is>
      </c>
      <c r="B4" s="4" t="inlineStr">
        <is>
          <t>勘定科目名</t>
        </is>
      </c>
      <c r="C4" s="4" t="inlineStr">
        <is>
          <t>Account Name</t>
        </is>
      </c>
      <c r="D4" s="4" t="inlineStr">
        <is>
          <t>FS_Type</t>
        </is>
      </c>
      <c r="E4" s="4" t="inlineStr">
        <is>
          <t>大区分</t>
        </is>
      </c>
      <c r="F4" s="4" t="inlineStr">
        <is>
          <t>中区分</t>
        </is>
      </c>
      <c r="G4" s="4" t="inlineStr">
        <is>
          <t>表示行</t>
        </is>
      </c>
      <c r="H4" s="4" t="inlineStr">
        <is>
          <t>Normal</t>
        </is>
      </c>
      <c r="I4" s="4" t="inlineStr">
        <is>
          <t>Display_Sign</t>
        </is>
      </c>
      <c r="J4" s="4" t="inlineStr">
        <is>
          <t>流動固定</t>
        </is>
      </c>
      <c r="K4" s="4" t="inlineStr">
        <is>
          <t>CF_Class</t>
        </is>
      </c>
      <c r="L4" s="4" t="inlineStr">
        <is>
          <t>Analysis_Tag</t>
        </is>
      </c>
      <c r="M4" s="4" t="inlineStr">
        <is>
          <t>前期開始残高</t>
        </is>
      </c>
      <c r="N4" s="4" t="inlineStr">
        <is>
          <t>Notes</t>
        </is>
      </c>
    </row>
    <row r="5" ht="18" customHeight="1">
      <c r="A5" s="9" t="inlineStr">
        <is>
          <t>1110</t>
        </is>
      </c>
      <c r="B5" s="9" t="inlineStr">
        <is>
          <t>現金及び預金</t>
        </is>
      </c>
      <c r="C5" s="9" t="inlineStr">
        <is>
          <t>Cash and Deposits</t>
        </is>
      </c>
      <c r="D5" s="9" t="inlineStr">
        <is>
          <t>BS</t>
        </is>
      </c>
      <c r="E5" s="9" t="inlineStr">
        <is>
          <t>資産</t>
        </is>
      </c>
      <c r="F5" s="9" t="inlineStr">
        <is>
          <t>流動資産</t>
        </is>
      </c>
      <c r="G5" s="9" t="inlineStr">
        <is>
          <t>Cash and Deposits</t>
        </is>
      </c>
      <c r="H5" s="9" t="inlineStr">
        <is>
          <t>Dr</t>
        </is>
      </c>
      <c r="I5" s="9" t="n">
        <v>1</v>
      </c>
      <c r="J5" s="9" t="inlineStr">
        <is>
          <t>Current</t>
        </is>
      </c>
      <c r="K5" s="9" t="inlineStr">
        <is>
          <t>Cash</t>
        </is>
      </c>
      <c r="L5" s="9" t="inlineStr">
        <is>
          <t>Liquidity</t>
        </is>
      </c>
      <c r="M5" s="10" t="n">
        <v>35000000</v>
      </c>
      <c r="N5" s="9" t="inlineStr">
        <is>
          <t>主要運転資金</t>
        </is>
      </c>
    </row>
    <row r="6" ht="18" customHeight="1">
      <c r="A6" s="9" t="inlineStr">
        <is>
          <t>1120</t>
        </is>
      </c>
      <c r="B6" s="9" t="inlineStr">
        <is>
          <t>売掛金</t>
        </is>
      </c>
      <c r="C6" s="9" t="inlineStr">
        <is>
          <t>Accounts Receivable - Trade</t>
        </is>
      </c>
      <c r="D6" s="9" t="inlineStr">
        <is>
          <t>BS</t>
        </is>
      </c>
      <c r="E6" s="9" t="inlineStr">
        <is>
          <t>資産</t>
        </is>
      </c>
      <c r="F6" s="9" t="inlineStr">
        <is>
          <t>流動資産</t>
        </is>
      </c>
      <c r="G6" s="9" t="inlineStr">
        <is>
          <t>Notes and Accounts Receivable - Trade</t>
        </is>
      </c>
      <c r="H6" s="9" t="inlineStr">
        <is>
          <t>Dr</t>
        </is>
      </c>
      <c r="I6" s="9" t="n">
        <v>1</v>
      </c>
      <c r="J6" s="9" t="inlineStr">
        <is>
          <t>Current</t>
        </is>
      </c>
      <c r="K6" s="9" t="inlineStr">
        <is>
          <t>Operating</t>
        </is>
      </c>
      <c r="L6" s="9" t="inlineStr">
        <is>
          <t>Working Capital</t>
        </is>
      </c>
      <c r="M6" s="10" t="n">
        <v>18000000</v>
      </c>
      <c r="N6" s="9" t="inlineStr">
        <is>
          <t>営業債権</t>
        </is>
      </c>
    </row>
    <row r="7" ht="18" customHeight="1">
      <c r="A7" s="9" t="inlineStr">
        <is>
          <t>1130</t>
        </is>
      </c>
      <c r="B7" s="9" t="inlineStr">
        <is>
          <t>電子記録債権</t>
        </is>
      </c>
      <c r="C7" s="9" t="inlineStr">
        <is>
          <t>Electronically Recorded Monetary Claims - Operating</t>
        </is>
      </c>
      <c r="D7" s="9" t="inlineStr">
        <is>
          <t>BS</t>
        </is>
      </c>
      <c r="E7" s="9" t="inlineStr">
        <is>
          <t>資産</t>
        </is>
      </c>
      <c r="F7" s="9" t="inlineStr">
        <is>
          <t>流動資産</t>
        </is>
      </c>
      <c r="G7" s="9" t="inlineStr">
        <is>
          <t>Electronically Recorded Monetary Claims - Operating</t>
        </is>
      </c>
      <c r="H7" s="9" t="inlineStr">
        <is>
          <t>Dr</t>
        </is>
      </c>
      <c r="I7" s="9" t="n">
        <v>1</v>
      </c>
      <c r="J7" s="9" t="inlineStr">
        <is>
          <t>Current</t>
        </is>
      </c>
      <c r="K7" s="9" t="inlineStr">
        <is>
          <t>Operating</t>
        </is>
      </c>
      <c r="L7" s="9" t="inlineStr">
        <is>
          <t>Working Capital</t>
        </is>
      </c>
      <c r="M7" s="10" t="n">
        <v>0</v>
      </c>
      <c r="N7" s="9" t="inlineStr"/>
    </row>
    <row r="8" ht="18" customHeight="1">
      <c r="A8" s="9" t="inlineStr">
        <is>
          <t>1140</t>
        </is>
      </c>
      <c r="B8" s="9" t="inlineStr">
        <is>
          <t>有価証券</t>
        </is>
      </c>
      <c r="C8" s="9" t="inlineStr">
        <is>
          <t>Securities</t>
        </is>
      </c>
      <c r="D8" s="9" t="inlineStr">
        <is>
          <t>BS</t>
        </is>
      </c>
      <c r="E8" s="9" t="inlineStr">
        <is>
          <t>資産</t>
        </is>
      </c>
      <c r="F8" s="9" t="inlineStr">
        <is>
          <t>流動資産</t>
        </is>
      </c>
      <c r="G8" s="9" t="inlineStr">
        <is>
          <t>Securities</t>
        </is>
      </c>
      <c r="H8" s="9" t="inlineStr">
        <is>
          <t>Dr</t>
        </is>
      </c>
      <c r="I8" s="9" t="n">
        <v>1</v>
      </c>
      <c r="J8" s="9" t="inlineStr">
        <is>
          <t>Current</t>
        </is>
      </c>
      <c r="K8" s="9" t="inlineStr">
        <is>
          <t>Investing</t>
        </is>
      </c>
      <c r="L8" s="9" t="inlineStr">
        <is>
          <t>Liquidity</t>
        </is>
      </c>
      <c r="M8" s="10" t="n">
        <v>0</v>
      </c>
      <c r="N8" s="9" t="inlineStr"/>
    </row>
    <row r="9" ht="18" customHeight="1">
      <c r="A9" s="9" t="inlineStr">
        <is>
          <t>1150</t>
        </is>
      </c>
      <c r="B9" s="9" t="inlineStr">
        <is>
          <t>商品及び製品</t>
        </is>
      </c>
      <c r="C9" s="9" t="inlineStr">
        <is>
          <t>Merchandise and Finished Goods</t>
        </is>
      </c>
      <c r="D9" s="9" t="inlineStr">
        <is>
          <t>BS</t>
        </is>
      </c>
      <c r="E9" s="9" t="inlineStr">
        <is>
          <t>資産</t>
        </is>
      </c>
      <c r="F9" s="9" t="inlineStr">
        <is>
          <t>流動資産</t>
        </is>
      </c>
      <c r="G9" s="9" t="inlineStr">
        <is>
          <t>Merchandise and Finished Goods</t>
        </is>
      </c>
      <c r="H9" s="9" t="inlineStr">
        <is>
          <t>Dr</t>
        </is>
      </c>
      <c r="I9" s="9" t="n">
        <v>1</v>
      </c>
      <c r="J9" s="9" t="inlineStr">
        <is>
          <t>Current</t>
        </is>
      </c>
      <c r="K9" s="9" t="inlineStr">
        <is>
          <t>Operating</t>
        </is>
      </c>
      <c r="L9" s="9" t="inlineStr">
        <is>
          <t>Inventory</t>
        </is>
      </c>
      <c r="M9" s="10" t="n">
        <v>12000000</v>
      </c>
      <c r="N9" s="9" t="inlineStr">
        <is>
          <t>在庫</t>
        </is>
      </c>
    </row>
    <row r="10" ht="18" customHeight="1">
      <c r="A10" s="9" t="inlineStr">
        <is>
          <t>1160</t>
        </is>
      </c>
      <c r="B10" s="9" t="inlineStr">
        <is>
          <t>仕掛品</t>
        </is>
      </c>
      <c r="C10" s="9" t="inlineStr">
        <is>
          <t>Work in Process</t>
        </is>
      </c>
      <c r="D10" s="9" t="inlineStr">
        <is>
          <t>BS</t>
        </is>
      </c>
      <c r="E10" s="9" t="inlineStr">
        <is>
          <t>資産</t>
        </is>
      </c>
      <c r="F10" s="9" t="inlineStr">
        <is>
          <t>流動資産</t>
        </is>
      </c>
      <c r="G10" s="9" t="inlineStr">
        <is>
          <t>Work in Process</t>
        </is>
      </c>
      <c r="H10" s="9" t="inlineStr">
        <is>
          <t>Dr</t>
        </is>
      </c>
      <c r="I10" s="9" t="n">
        <v>1</v>
      </c>
      <c r="J10" s="9" t="inlineStr">
        <is>
          <t>Current</t>
        </is>
      </c>
      <c r="K10" s="9" t="inlineStr">
        <is>
          <t>Operating</t>
        </is>
      </c>
      <c r="L10" s="9" t="inlineStr">
        <is>
          <t>Inventory</t>
        </is>
      </c>
      <c r="M10" s="10" t="n">
        <v>0</v>
      </c>
      <c r="N10" s="9" t="inlineStr"/>
    </row>
    <row r="11" ht="18" customHeight="1">
      <c r="A11" s="9" t="inlineStr">
        <is>
          <t>1170</t>
        </is>
      </c>
      <c r="B11" s="9" t="inlineStr">
        <is>
          <t>原材料及び貯蔵品</t>
        </is>
      </c>
      <c r="C11" s="9" t="inlineStr">
        <is>
          <t>Raw Materials and Supplies</t>
        </is>
      </c>
      <c r="D11" s="9" t="inlineStr">
        <is>
          <t>BS</t>
        </is>
      </c>
      <c r="E11" s="9" t="inlineStr">
        <is>
          <t>資産</t>
        </is>
      </c>
      <c r="F11" s="9" t="inlineStr">
        <is>
          <t>流動資産</t>
        </is>
      </c>
      <c r="G11" s="9" t="inlineStr">
        <is>
          <t>Raw Materials and Supplies</t>
        </is>
      </c>
      <c r="H11" s="9" t="inlineStr">
        <is>
          <t>Dr</t>
        </is>
      </c>
      <c r="I11" s="9" t="n">
        <v>1</v>
      </c>
      <c r="J11" s="9" t="inlineStr">
        <is>
          <t>Current</t>
        </is>
      </c>
      <c r="K11" s="9" t="inlineStr">
        <is>
          <t>Operating</t>
        </is>
      </c>
      <c r="L11" s="9" t="inlineStr">
        <is>
          <t>Inventory</t>
        </is>
      </c>
      <c r="M11" s="10" t="n">
        <v>0</v>
      </c>
      <c r="N11" s="9" t="inlineStr"/>
    </row>
    <row r="12" ht="18" customHeight="1">
      <c r="A12" s="9" t="inlineStr">
        <is>
          <t>1180</t>
        </is>
      </c>
      <c r="B12" s="9" t="inlineStr">
        <is>
          <t>前払費用</t>
        </is>
      </c>
      <c r="C12" s="9" t="inlineStr">
        <is>
          <t>Prepaid Expenses</t>
        </is>
      </c>
      <c r="D12" s="9" t="inlineStr">
        <is>
          <t>BS</t>
        </is>
      </c>
      <c r="E12" s="9" t="inlineStr">
        <is>
          <t>資産</t>
        </is>
      </c>
      <c r="F12" s="9" t="inlineStr">
        <is>
          <t>流動資産</t>
        </is>
      </c>
      <c r="G12" s="9" t="inlineStr">
        <is>
          <t>Prepaid Expenses</t>
        </is>
      </c>
      <c r="H12" s="9" t="inlineStr">
        <is>
          <t>Dr</t>
        </is>
      </c>
      <c r="I12" s="9" t="n">
        <v>1</v>
      </c>
      <c r="J12" s="9" t="inlineStr">
        <is>
          <t>Current</t>
        </is>
      </c>
      <c r="K12" s="9" t="inlineStr">
        <is>
          <t>Operating</t>
        </is>
      </c>
      <c r="L12" s="9" t="inlineStr">
        <is>
          <t>Working Capital</t>
        </is>
      </c>
      <c r="M12" s="10" t="n">
        <v>1500000</v>
      </c>
      <c r="N12" s="9" t="inlineStr"/>
    </row>
    <row r="13" ht="18" customHeight="1">
      <c r="A13" s="9" t="inlineStr">
        <is>
          <t>1190</t>
        </is>
      </c>
      <c r="B13" s="9" t="inlineStr">
        <is>
          <t>短期貸付金</t>
        </is>
      </c>
      <c r="C13" s="9" t="inlineStr">
        <is>
          <t>Short-term Loans Receivable</t>
        </is>
      </c>
      <c r="D13" s="9" t="inlineStr">
        <is>
          <t>BS</t>
        </is>
      </c>
      <c r="E13" s="9" t="inlineStr">
        <is>
          <t>資産</t>
        </is>
      </c>
      <c r="F13" s="9" t="inlineStr">
        <is>
          <t>流動資産</t>
        </is>
      </c>
      <c r="G13" s="9" t="inlineStr">
        <is>
          <t>Short-term Loans Receivable</t>
        </is>
      </c>
      <c r="H13" s="9" t="inlineStr">
        <is>
          <t>Dr</t>
        </is>
      </c>
      <c r="I13" s="9" t="n">
        <v>1</v>
      </c>
      <c r="J13" s="9" t="inlineStr">
        <is>
          <t>Current</t>
        </is>
      </c>
      <c r="K13" s="9" t="inlineStr">
        <is>
          <t>Investing</t>
        </is>
      </c>
      <c r="L13" s="9" t="inlineStr">
        <is>
          <t>Other Assets</t>
        </is>
      </c>
      <c r="M13" s="10" t="n">
        <v>0</v>
      </c>
      <c r="N13" s="9" t="inlineStr"/>
    </row>
    <row r="14" ht="18" customHeight="1">
      <c r="A14" s="9" t="inlineStr">
        <is>
          <t>1195</t>
        </is>
      </c>
      <c r="B14" s="9" t="inlineStr">
        <is>
          <t>未収収益</t>
        </is>
      </c>
      <c r="C14" s="9" t="inlineStr">
        <is>
          <t>Accrued Income</t>
        </is>
      </c>
      <c r="D14" s="9" t="inlineStr">
        <is>
          <t>BS</t>
        </is>
      </c>
      <c r="E14" s="9" t="inlineStr">
        <is>
          <t>資産</t>
        </is>
      </c>
      <c r="F14" s="9" t="inlineStr">
        <is>
          <t>流動資産</t>
        </is>
      </c>
      <c r="G14" s="9" t="inlineStr">
        <is>
          <t>Accrued Income</t>
        </is>
      </c>
      <c r="H14" s="9" t="inlineStr">
        <is>
          <t>Dr</t>
        </is>
      </c>
      <c r="I14" s="9" t="n">
        <v>1</v>
      </c>
      <c r="J14" s="9" t="inlineStr">
        <is>
          <t>Current</t>
        </is>
      </c>
      <c r="K14" s="9" t="inlineStr">
        <is>
          <t>Operating</t>
        </is>
      </c>
      <c r="L14" s="9" t="inlineStr">
        <is>
          <t>Working Capital</t>
        </is>
      </c>
      <c r="M14" s="10" t="n">
        <v>0</v>
      </c>
      <c r="N14" s="9" t="inlineStr"/>
    </row>
    <row r="15" ht="18" customHeight="1">
      <c r="A15" s="9" t="inlineStr">
        <is>
          <t>1198</t>
        </is>
      </c>
      <c r="B15" s="9" t="inlineStr">
        <is>
          <t>その他の流動資産</t>
        </is>
      </c>
      <c r="C15" s="9" t="inlineStr">
        <is>
          <t>Other Current Assets</t>
        </is>
      </c>
      <c r="D15" s="9" t="inlineStr">
        <is>
          <t>BS</t>
        </is>
      </c>
      <c r="E15" s="9" t="inlineStr">
        <is>
          <t>資産</t>
        </is>
      </c>
      <c r="F15" s="9" t="inlineStr">
        <is>
          <t>流動資産</t>
        </is>
      </c>
      <c r="G15" s="9" t="inlineStr">
        <is>
          <t>Other Current Assets</t>
        </is>
      </c>
      <c r="H15" s="9" t="inlineStr">
        <is>
          <t>Dr</t>
        </is>
      </c>
      <c r="I15" s="9" t="n">
        <v>1</v>
      </c>
      <c r="J15" s="9" t="inlineStr">
        <is>
          <t>Current</t>
        </is>
      </c>
      <c r="K15" s="9" t="inlineStr">
        <is>
          <t>Operating</t>
        </is>
      </c>
      <c r="L15" s="9" t="inlineStr">
        <is>
          <t>Other Assets</t>
        </is>
      </c>
      <c r="M15" s="10" t="n">
        <v>0</v>
      </c>
      <c r="N15" s="9" t="inlineStr"/>
    </row>
    <row r="16" ht="18" customHeight="1">
      <c r="A16" s="9" t="inlineStr">
        <is>
          <t>1199</t>
        </is>
      </c>
      <c r="B16" s="9" t="inlineStr">
        <is>
          <t>貸倒引当金（流動）</t>
        </is>
      </c>
      <c r="C16" s="9" t="inlineStr">
        <is>
          <t>Allowance for Doubtful Accounts (Current)</t>
        </is>
      </c>
      <c r="D16" s="9" t="inlineStr">
        <is>
          <t>BS</t>
        </is>
      </c>
      <c r="E16" s="9" t="inlineStr">
        <is>
          <t>資産</t>
        </is>
      </c>
      <c r="F16" s="9" t="inlineStr">
        <is>
          <t>流動資産</t>
        </is>
      </c>
      <c r="G16" s="9" t="inlineStr">
        <is>
          <t>Allowance for Doubtful Accounts (Current)</t>
        </is>
      </c>
      <c r="H16" s="9" t="inlineStr">
        <is>
          <t>Cr</t>
        </is>
      </c>
      <c r="I16" s="9" t="n">
        <v>-1</v>
      </c>
      <c r="J16" s="9" t="inlineStr">
        <is>
          <t>Current</t>
        </is>
      </c>
      <c r="K16" s="9" t="inlineStr">
        <is>
          <t>Non-cash</t>
        </is>
      </c>
      <c r="L16" s="9" t="inlineStr">
        <is>
          <t>Credit Risk</t>
        </is>
      </c>
      <c r="M16" s="10" t="n">
        <v>0</v>
      </c>
      <c r="N16" s="9" t="inlineStr">
        <is>
          <t>控除科目</t>
        </is>
      </c>
    </row>
    <row r="17" ht="18" customHeight="1">
      <c r="A17" s="9" t="inlineStr">
        <is>
          <t>1510</t>
        </is>
      </c>
      <c r="B17" s="9" t="inlineStr">
        <is>
          <t>建物</t>
        </is>
      </c>
      <c r="C17" s="9" t="inlineStr">
        <is>
          <t>Buildings and Structures</t>
        </is>
      </c>
      <c r="D17" s="9" t="inlineStr">
        <is>
          <t>BS</t>
        </is>
      </c>
      <c r="E17" s="9" t="inlineStr">
        <is>
          <t>資産</t>
        </is>
      </c>
      <c r="F17" s="9" t="inlineStr">
        <is>
          <t>固定資産</t>
        </is>
      </c>
      <c r="G17" s="9" t="inlineStr">
        <is>
          <t>Buildings and Structures</t>
        </is>
      </c>
      <c r="H17" s="9" t="inlineStr">
        <is>
          <t>Dr</t>
        </is>
      </c>
      <c r="I17" s="9" t="n">
        <v>1</v>
      </c>
      <c r="J17" s="9" t="inlineStr">
        <is>
          <t>Non-current</t>
        </is>
      </c>
      <c r="K17" s="9" t="inlineStr">
        <is>
          <t>Investing</t>
        </is>
      </c>
      <c r="L17" s="9" t="inlineStr">
        <is>
          <t>Fixed Assets</t>
        </is>
      </c>
      <c r="M17" s="10" t="n">
        <v>40000000</v>
      </c>
      <c r="N17" s="9" t="inlineStr"/>
    </row>
    <row r="18" ht="18" customHeight="1">
      <c r="A18" s="9" t="inlineStr">
        <is>
          <t>1520</t>
        </is>
      </c>
      <c r="B18" s="9" t="inlineStr">
        <is>
          <t>機械装置及び車両運搬具</t>
        </is>
      </c>
      <c r="C18" s="9" t="inlineStr">
        <is>
          <t>Machinery, Equipment and Vehicles</t>
        </is>
      </c>
      <c r="D18" s="9" t="inlineStr">
        <is>
          <t>BS</t>
        </is>
      </c>
      <c r="E18" s="9" t="inlineStr">
        <is>
          <t>資産</t>
        </is>
      </c>
      <c r="F18" s="9" t="inlineStr">
        <is>
          <t>固定資産</t>
        </is>
      </c>
      <c r="G18" s="9" t="inlineStr">
        <is>
          <t>Machinery, Equipment and Vehicles</t>
        </is>
      </c>
      <c r="H18" s="9" t="inlineStr">
        <is>
          <t>Dr</t>
        </is>
      </c>
      <c r="I18" s="9" t="n">
        <v>1</v>
      </c>
      <c r="J18" s="9" t="inlineStr">
        <is>
          <t>Non-current</t>
        </is>
      </c>
      <c r="K18" s="9" t="inlineStr">
        <is>
          <t>Investing</t>
        </is>
      </c>
      <c r="L18" s="9" t="inlineStr">
        <is>
          <t>Fixed Assets</t>
        </is>
      </c>
      <c r="M18" s="10" t="n">
        <v>25000000</v>
      </c>
      <c r="N18" s="9" t="inlineStr"/>
    </row>
    <row r="19" ht="18" customHeight="1">
      <c r="A19" s="9" t="inlineStr">
        <is>
          <t>1530</t>
        </is>
      </c>
      <c r="B19" s="9" t="inlineStr">
        <is>
          <t>工具器具備品</t>
        </is>
      </c>
      <c r="C19" s="9" t="inlineStr">
        <is>
          <t>Tools, Furniture and Fixtures</t>
        </is>
      </c>
      <c r="D19" s="9" t="inlineStr">
        <is>
          <t>BS</t>
        </is>
      </c>
      <c r="E19" s="9" t="inlineStr">
        <is>
          <t>資産</t>
        </is>
      </c>
      <c r="F19" s="9" t="inlineStr">
        <is>
          <t>固定資産</t>
        </is>
      </c>
      <c r="G19" s="9" t="inlineStr">
        <is>
          <t>Tools, Furniture and Fixtures</t>
        </is>
      </c>
      <c r="H19" s="9" t="inlineStr">
        <is>
          <t>Dr</t>
        </is>
      </c>
      <c r="I19" s="9" t="n">
        <v>1</v>
      </c>
      <c r="J19" s="9" t="inlineStr">
        <is>
          <t>Non-current</t>
        </is>
      </c>
      <c r="K19" s="9" t="inlineStr">
        <is>
          <t>Investing</t>
        </is>
      </c>
      <c r="L19" s="9" t="inlineStr">
        <is>
          <t>Fixed Assets</t>
        </is>
      </c>
      <c r="M19" s="10" t="n">
        <v>8000000</v>
      </c>
      <c r="N19" s="9" t="inlineStr"/>
    </row>
    <row r="20" ht="18" customHeight="1">
      <c r="A20" s="9" t="inlineStr">
        <is>
          <t>1540</t>
        </is>
      </c>
      <c r="B20" s="9" t="inlineStr">
        <is>
          <t>土地</t>
        </is>
      </c>
      <c r="C20" s="9" t="inlineStr">
        <is>
          <t>Land</t>
        </is>
      </c>
      <c r="D20" s="9" t="inlineStr">
        <is>
          <t>BS</t>
        </is>
      </c>
      <c r="E20" s="9" t="inlineStr">
        <is>
          <t>資産</t>
        </is>
      </c>
      <c r="F20" s="9" t="inlineStr">
        <is>
          <t>固定資産</t>
        </is>
      </c>
      <c r="G20" s="9" t="inlineStr">
        <is>
          <t>Land</t>
        </is>
      </c>
      <c r="H20" s="9" t="inlineStr">
        <is>
          <t>Dr</t>
        </is>
      </c>
      <c r="I20" s="9" t="n">
        <v>1</v>
      </c>
      <c r="J20" s="9" t="inlineStr">
        <is>
          <t>Non-current</t>
        </is>
      </c>
      <c r="K20" s="9" t="inlineStr">
        <is>
          <t>Investing</t>
        </is>
      </c>
      <c r="L20" s="9" t="inlineStr">
        <is>
          <t>Fixed Assets</t>
        </is>
      </c>
      <c r="M20" s="10" t="n">
        <v>15000000</v>
      </c>
      <c r="N20" s="9" t="inlineStr"/>
    </row>
    <row r="21" ht="18" customHeight="1">
      <c r="A21" s="9" t="inlineStr">
        <is>
          <t>1550</t>
        </is>
      </c>
      <c r="B21" s="9" t="inlineStr">
        <is>
          <t>リース資産</t>
        </is>
      </c>
      <c r="C21" s="9" t="inlineStr">
        <is>
          <t>Leased Assets</t>
        </is>
      </c>
      <c r="D21" s="9" t="inlineStr">
        <is>
          <t>BS</t>
        </is>
      </c>
      <c r="E21" s="9" t="inlineStr">
        <is>
          <t>資産</t>
        </is>
      </c>
      <c r="F21" s="9" t="inlineStr">
        <is>
          <t>固定資産</t>
        </is>
      </c>
      <c r="G21" s="9" t="inlineStr">
        <is>
          <t>Leased Assets</t>
        </is>
      </c>
      <c r="H21" s="9" t="inlineStr">
        <is>
          <t>Dr</t>
        </is>
      </c>
      <c r="I21" s="9" t="n">
        <v>1</v>
      </c>
      <c r="J21" s="9" t="inlineStr">
        <is>
          <t>Non-current</t>
        </is>
      </c>
      <c r="K21" s="9" t="inlineStr">
        <is>
          <t>Investing</t>
        </is>
      </c>
      <c r="L21" s="9" t="inlineStr">
        <is>
          <t>Fixed Assets</t>
        </is>
      </c>
      <c r="M21" s="10" t="n">
        <v>0</v>
      </c>
      <c r="N21" s="9" t="inlineStr"/>
    </row>
    <row r="22" ht="18" customHeight="1">
      <c r="A22" s="9" t="inlineStr">
        <is>
          <t>1560</t>
        </is>
      </c>
      <c r="B22" s="9" t="inlineStr">
        <is>
          <t>建設仮勘定</t>
        </is>
      </c>
      <c r="C22" s="9" t="inlineStr">
        <is>
          <t>Construction in Progress</t>
        </is>
      </c>
      <c r="D22" s="9" t="inlineStr">
        <is>
          <t>BS</t>
        </is>
      </c>
      <c r="E22" s="9" t="inlineStr">
        <is>
          <t>資産</t>
        </is>
      </c>
      <c r="F22" s="9" t="inlineStr">
        <is>
          <t>固定資産</t>
        </is>
      </c>
      <c r="G22" s="9" t="inlineStr">
        <is>
          <t>Construction in Progress</t>
        </is>
      </c>
      <c r="H22" s="9" t="inlineStr">
        <is>
          <t>Dr</t>
        </is>
      </c>
      <c r="I22" s="9" t="n">
        <v>1</v>
      </c>
      <c r="J22" s="9" t="inlineStr">
        <is>
          <t>Non-current</t>
        </is>
      </c>
      <c r="K22" s="9" t="inlineStr">
        <is>
          <t>Investing</t>
        </is>
      </c>
      <c r="L22" s="9" t="inlineStr">
        <is>
          <t>Fixed Assets</t>
        </is>
      </c>
      <c r="M22" s="10" t="n">
        <v>0</v>
      </c>
      <c r="N22" s="9" t="inlineStr"/>
    </row>
    <row r="23" ht="18" customHeight="1">
      <c r="A23" s="9" t="inlineStr">
        <is>
          <t>1590</t>
        </is>
      </c>
      <c r="B23" s="9" t="inlineStr">
        <is>
          <t>減価償却累計額</t>
        </is>
      </c>
      <c r="C23" s="9" t="inlineStr">
        <is>
          <t>Accumulated Depreciation</t>
        </is>
      </c>
      <c r="D23" s="9" t="inlineStr">
        <is>
          <t>BS</t>
        </is>
      </c>
      <c r="E23" s="9" t="inlineStr">
        <is>
          <t>資産</t>
        </is>
      </c>
      <c r="F23" s="9" t="inlineStr">
        <is>
          <t>固定資産</t>
        </is>
      </c>
      <c r="G23" s="9" t="inlineStr">
        <is>
          <t>Accumulated Depreciation</t>
        </is>
      </c>
      <c r="H23" s="9" t="inlineStr">
        <is>
          <t>Cr</t>
        </is>
      </c>
      <c r="I23" s="9" t="n">
        <v>-1</v>
      </c>
      <c r="J23" s="9" t="inlineStr">
        <is>
          <t>Non-current</t>
        </is>
      </c>
      <c r="K23" s="9" t="inlineStr">
        <is>
          <t>Non-cash</t>
        </is>
      </c>
      <c r="L23" s="9" t="inlineStr">
        <is>
          <t>Fixed Assets</t>
        </is>
      </c>
      <c r="M23" s="10" t="n">
        <v>30000000</v>
      </c>
      <c r="N23" s="9" t="inlineStr">
        <is>
          <t>控除科目</t>
        </is>
      </c>
    </row>
    <row r="24" ht="18" customHeight="1">
      <c r="A24" s="9" t="inlineStr">
        <is>
          <t>1610</t>
        </is>
      </c>
      <c r="B24" s="9" t="inlineStr">
        <is>
          <t>のれん</t>
        </is>
      </c>
      <c r="C24" s="9" t="inlineStr">
        <is>
          <t>Goodwill</t>
        </is>
      </c>
      <c r="D24" s="9" t="inlineStr">
        <is>
          <t>BS</t>
        </is>
      </c>
      <c r="E24" s="9" t="inlineStr">
        <is>
          <t>資産</t>
        </is>
      </c>
      <c r="F24" s="9" t="inlineStr">
        <is>
          <t>固定資産</t>
        </is>
      </c>
      <c r="G24" s="9" t="inlineStr">
        <is>
          <t>Goodwill</t>
        </is>
      </c>
      <c r="H24" s="9" t="inlineStr">
        <is>
          <t>Dr</t>
        </is>
      </c>
      <c r="I24" s="9" t="n">
        <v>1</v>
      </c>
      <c r="J24" s="9" t="inlineStr">
        <is>
          <t>Non-current</t>
        </is>
      </c>
      <c r="K24" s="9" t="inlineStr">
        <is>
          <t>Investing</t>
        </is>
      </c>
      <c r="L24" s="9" t="inlineStr">
        <is>
          <t>Intangibles</t>
        </is>
      </c>
      <c r="M24" s="10" t="n">
        <v>0</v>
      </c>
      <c r="N24" s="9" t="inlineStr"/>
    </row>
    <row r="25" ht="18" customHeight="1">
      <c r="A25" s="9" t="inlineStr">
        <is>
          <t>1620</t>
        </is>
      </c>
      <c r="B25" s="9" t="inlineStr">
        <is>
          <t>ソフトウェア</t>
        </is>
      </c>
      <c r="C25" s="9" t="inlineStr">
        <is>
          <t>Software</t>
        </is>
      </c>
      <c r="D25" s="9" t="inlineStr">
        <is>
          <t>BS</t>
        </is>
      </c>
      <c r="E25" s="9" t="inlineStr">
        <is>
          <t>資産</t>
        </is>
      </c>
      <c r="F25" s="9" t="inlineStr">
        <is>
          <t>固定資産</t>
        </is>
      </c>
      <c r="G25" s="9" t="inlineStr">
        <is>
          <t>Software</t>
        </is>
      </c>
      <c r="H25" s="9" t="inlineStr">
        <is>
          <t>Dr</t>
        </is>
      </c>
      <c r="I25" s="9" t="n">
        <v>1</v>
      </c>
      <c r="J25" s="9" t="inlineStr">
        <is>
          <t>Non-current</t>
        </is>
      </c>
      <c r="K25" s="9" t="inlineStr">
        <is>
          <t>Investing</t>
        </is>
      </c>
      <c r="L25" s="9" t="inlineStr">
        <is>
          <t>Intangibles</t>
        </is>
      </c>
      <c r="M25" s="10" t="n">
        <v>3000000</v>
      </c>
      <c r="N25" s="9" t="inlineStr"/>
    </row>
    <row r="26" ht="18" customHeight="1">
      <c r="A26" s="9" t="inlineStr">
        <is>
          <t>1690</t>
        </is>
      </c>
      <c r="B26" s="9" t="inlineStr">
        <is>
          <t>その他の無形固定資産</t>
        </is>
      </c>
      <c r="C26" s="9" t="inlineStr">
        <is>
          <t>Other Intangible Assets</t>
        </is>
      </c>
      <c r="D26" s="9" t="inlineStr">
        <is>
          <t>BS</t>
        </is>
      </c>
      <c r="E26" s="9" t="inlineStr">
        <is>
          <t>資産</t>
        </is>
      </c>
      <c r="F26" s="9" t="inlineStr">
        <is>
          <t>固定資産</t>
        </is>
      </c>
      <c r="G26" s="9" t="inlineStr">
        <is>
          <t>Other Intangible Assets</t>
        </is>
      </c>
      <c r="H26" s="9" t="inlineStr">
        <is>
          <t>Dr</t>
        </is>
      </c>
      <c r="I26" s="9" t="n">
        <v>1</v>
      </c>
      <c r="J26" s="9" t="inlineStr">
        <is>
          <t>Non-current</t>
        </is>
      </c>
      <c r="K26" s="9" t="inlineStr">
        <is>
          <t>Investing</t>
        </is>
      </c>
      <c r="L26" s="9" t="inlineStr">
        <is>
          <t>Intangibles</t>
        </is>
      </c>
      <c r="M26" s="10" t="n">
        <v>0</v>
      </c>
      <c r="N26" s="9" t="inlineStr"/>
    </row>
    <row r="27" ht="18" customHeight="1">
      <c r="A27" s="9" t="inlineStr">
        <is>
          <t>1710</t>
        </is>
      </c>
      <c r="B27" s="9" t="inlineStr">
        <is>
          <t>投資有価証券</t>
        </is>
      </c>
      <c r="C27" s="9" t="inlineStr">
        <is>
          <t>Investment Securities</t>
        </is>
      </c>
      <c r="D27" s="9" t="inlineStr">
        <is>
          <t>BS</t>
        </is>
      </c>
      <c r="E27" s="9" t="inlineStr">
        <is>
          <t>資産</t>
        </is>
      </c>
      <c r="F27" s="9" t="inlineStr">
        <is>
          <t>固定資産</t>
        </is>
      </c>
      <c r="G27" s="9" t="inlineStr">
        <is>
          <t>Investment Securities</t>
        </is>
      </c>
      <c r="H27" s="9" t="inlineStr">
        <is>
          <t>Dr</t>
        </is>
      </c>
      <c r="I27" s="9" t="n">
        <v>1</v>
      </c>
      <c r="J27" s="9" t="inlineStr">
        <is>
          <t>Non-current</t>
        </is>
      </c>
      <c r="K27" s="9" t="inlineStr">
        <is>
          <t>Investing</t>
        </is>
      </c>
      <c r="L27" s="9" t="inlineStr">
        <is>
          <t>Investments</t>
        </is>
      </c>
      <c r="M27" s="10" t="n">
        <v>0</v>
      </c>
      <c r="N27" s="9" t="inlineStr"/>
    </row>
    <row r="28" ht="18" customHeight="1">
      <c r="A28" s="9" t="inlineStr">
        <is>
          <t>1720</t>
        </is>
      </c>
      <c r="B28" s="9" t="inlineStr">
        <is>
          <t>関係会社株式</t>
        </is>
      </c>
      <c r="C28" s="9" t="inlineStr">
        <is>
          <t>Shares of Subsidiaries and Associates</t>
        </is>
      </c>
      <c r="D28" s="9" t="inlineStr">
        <is>
          <t>BS</t>
        </is>
      </c>
      <c r="E28" s="9" t="inlineStr">
        <is>
          <t>資産</t>
        </is>
      </c>
      <c r="F28" s="9" t="inlineStr">
        <is>
          <t>固定資産</t>
        </is>
      </c>
      <c r="G28" s="9" t="inlineStr">
        <is>
          <t>Shares of Subsidiaries and Associates</t>
        </is>
      </c>
      <c r="H28" s="9" t="inlineStr">
        <is>
          <t>Dr</t>
        </is>
      </c>
      <c r="I28" s="9" t="n">
        <v>1</v>
      </c>
      <c r="J28" s="9" t="inlineStr">
        <is>
          <t>Non-current</t>
        </is>
      </c>
      <c r="K28" s="9" t="inlineStr">
        <is>
          <t>Investing</t>
        </is>
      </c>
      <c r="L28" s="9" t="inlineStr">
        <is>
          <t>Investments</t>
        </is>
      </c>
      <c r="M28" s="10" t="n">
        <v>0</v>
      </c>
      <c r="N28" s="9" t="inlineStr"/>
    </row>
    <row r="29" ht="18" customHeight="1">
      <c r="A29" s="9" t="inlineStr">
        <is>
          <t>1730</t>
        </is>
      </c>
      <c r="B29" s="9" t="inlineStr">
        <is>
          <t>長期貸付金</t>
        </is>
      </c>
      <c r="C29" s="9" t="inlineStr">
        <is>
          <t>Long-term Loans Receivable</t>
        </is>
      </c>
      <c r="D29" s="9" t="inlineStr">
        <is>
          <t>BS</t>
        </is>
      </c>
      <c r="E29" s="9" t="inlineStr">
        <is>
          <t>資産</t>
        </is>
      </c>
      <c r="F29" s="9" t="inlineStr">
        <is>
          <t>固定資産</t>
        </is>
      </c>
      <c r="G29" s="9" t="inlineStr">
        <is>
          <t>Long-term Loans Receivable</t>
        </is>
      </c>
      <c r="H29" s="9" t="inlineStr">
        <is>
          <t>Dr</t>
        </is>
      </c>
      <c r="I29" s="9" t="n">
        <v>1</v>
      </c>
      <c r="J29" s="9" t="inlineStr">
        <is>
          <t>Non-current</t>
        </is>
      </c>
      <c r="K29" s="9" t="inlineStr">
        <is>
          <t>Investing</t>
        </is>
      </c>
      <c r="L29" s="9" t="inlineStr">
        <is>
          <t>Investments</t>
        </is>
      </c>
      <c r="M29" s="10" t="n">
        <v>0</v>
      </c>
      <c r="N29" s="9" t="inlineStr"/>
    </row>
    <row r="30" ht="18" customHeight="1">
      <c r="A30" s="9" t="inlineStr">
        <is>
          <t>1740</t>
        </is>
      </c>
      <c r="B30" s="9" t="inlineStr">
        <is>
          <t>繰延税金資産</t>
        </is>
      </c>
      <c r="C30" s="9" t="inlineStr">
        <is>
          <t>Deferred Tax Assets</t>
        </is>
      </c>
      <c r="D30" s="9" t="inlineStr">
        <is>
          <t>BS</t>
        </is>
      </c>
      <c r="E30" s="9" t="inlineStr">
        <is>
          <t>資産</t>
        </is>
      </c>
      <c r="F30" s="9" t="inlineStr">
        <is>
          <t>固定資産</t>
        </is>
      </c>
      <c r="G30" s="9" t="inlineStr">
        <is>
          <t>Deferred Tax Assets</t>
        </is>
      </c>
      <c r="H30" s="9" t="inlineStr">
        <is>
          <t>Dr</t>
        </is>
      </c>
      <c r="I30" s="9" t="n">
        <v>1</v>
      </c>
      <c r="J30" s="9" t="inlineStr">
        <is>
          <t>Non-current</t>
        </is>
      </c>
      <c r="K30" s="9" t="inlineStr">
        <is>
          <t>Non-cash</t>
        </is>
      </c>
      <c r="L30" s="9" t="inlineStr">
        <is>
          <t>Tax</t>
        </is>
      </c>
      <c r="M30" s="10" t="n">
        <v>0</v>
      </c>
      <c r="N30" s="9" t="inlineStr"/>
    </row>
    <row r="31" ht="18" customHeight="1">
      <c r="A31" s="9" t="inlineStr">
        <is>
          <t>1750</t>
        </is>
      </c>
      <c r="B31" s="9" t="inlineStr">
        <is>
          <t>差入保証金</t>
        </is>
      </c>
      <c r="C31" s="9" t="inlineStr">
        <is>
          <t>Guarantee Deposits</t>
        </is>
      </c>
      <c r="D31" s="9" t="inlineStr">
        <is>
          <t>BS</t>
        </is>
      </c>
      <c r="E31" s="9" t="inlineStr">
        <is>
          <t>資産</t>
        </is>
      </c>
      <c r="F31" s="9" t="inlineStr">
        <is>
          <t>固定資産</t>
        </is>
      </c>
      <c r="G31" s="9" t="inlineStr">
        <is>
          <t>Guarantee Deposits</t>
        </is>
      </c>
      <c r="H31" s="9" t="inlineStr">
        <is>
          <t>Dr</t>
        </is>
      </c>
      <c r="I31" s="9" t="n">
        <v>1</v>
      </c>
      <c r="J31" s="9" t="inlineStr">
        <is>
          <t>Non-current</t>
        </is>
      </c>
      <c r="K31" s="9" t="inlineStr">
        <is>
          <t>Investing</t>
        </is>
      </c>
      <c r="L31" s="9" t="inlineStr">
        <is>
          <t>Investments</t>
        </is>
      </c>
      <c r="M31" s="10" t="n">
        <v>0</v>
      </c>
      <c r="N31" s="9" t="inlineStr"/>
    </row>
    <row r="32" ht="18" customHeight="1">
      <c r="A32" s="9" t="inlineStr">
        <is>
          <t>1760</t>
        </is>
      </c>
      <c r="B32" s="9" t="inlineStr">
        <is>
          <t>退職給付資産</t>
        </is>
      </c>
      <c r="C32" s="9" t="inlineStr">
        <is>
          <t>Retirement Benefit Asset</t>
        </is>
      </c>
      <c r="D32" s="9" t="inlineStr">
        <is>
          <t>BS</t>
        </is>
      </c>
      <c r="E32" s="9" t="inlineStr">
        <is>
          <t>資産</t>
        </is>
      </c>
      <c r="F32" s="9" t="inlineStr">
        <is>
          <t>固定資産</t>
        </is>
      </c>
      <c r="G32" s="9" t="inlineStr">
        <is>
          <t>Retirement Benefit Asset</t>
        </is>
      </c>
      <c r="H32" s="9" t="inlineStr">
        <is>
          <t>Dr</t>
        </is>
      </c>
      <c r="I32" s="9" t="n">
        <v>1</v>
      </c>
      <c r="J32" s="9" t="inlineStr">
        <is>
          <t>Non-current</t>
        </is>
      </c>
      <c r="K32" s="9" t="inlineStr">
        <is>
          <t>Non-cash</t>
        </is>
      </c>
      <c r="L32" s="9" t="inlineStr">
        <is>
          <t>Retirement</t>
        </is>
      </c>
      <c r="M32" s="10" t="n">
        <v>0</v>
      </c>
      <c r="N32" s="9" t="inlineStr"/>
    </row>
    <row r="33" ht="18" customHeight="1">
      <c r="A33" s="9" t="inlineStr">
        <is>
          <t>1798</t>
        </is>
      </c>
      <c r="B33" s="9" t="inlineStr">
        <is>
          <t>その他の投資その他の資産</t>
        </is>
      </c>
      <c r="C33" s="9" t="inlineStr">
        <is>
          <t>Other Investments and Other Assets</t>
        </is>
      </c>
      <c r="D33" s="9" t="inlineStr">
        <is>
          <t>BS</t>
        </is>
      </c>
      <c r="E33" s="9" t="inlineStr">
        <is>
          <t>資産</t>
        </is>
      </c>
      <c r="F33" s="9" t="inlineStr">
        <is>
          <t>固定資産</t>
        </is>
      </c>
      <c r="G33" s="9" t="inlineStr">
        <is>
          <t>Other Investments and Other Assets</t>
        </is>
      </c>
      <c r="H33" s="9" t="inlineStr">
        <is>
          <t>Dr</t>
        </is>
      </c>
      <c r="I33" s="9" t="n">
        <v>1</v>
      </c>
      <c r="J33" s="9" t="inlineStr">
        <is>
          <t>Non-current</t>
        </is>
      </c>
      <c r="K33" s="9" t="inlineStr">
        <is>
          <t>Investing</t>
        </is>
      </c>
      <c r="L33" s="9" t="inlineStr">
        <is>
          <t>Investments</t>
        </is>
      </c>
      <c r="M33" s="10" t="n">
        <v>0</v>
      </c>
      <c r="N33" s="9" t="inlineStr"/>
    </row>
    <row r="34" ht="18" customHeight="1">
      <c r="A34" s="9" t="inlineStr">
        <is>
          <t>1799</t>
        </is>
      </c>
      <c r="B34" s="9" t="inlineStr">
        <is>
          <t>貸倒引当金（固定）</t>
        </is>
      </c>
      <c r="C34" s="9" t="inlineStr">
        <is>
          <t>Allowance for Doubtful Accounts (Non-current)</t>
        </is>
      </c>
      <c r="D34" s="9" t="inlineStr">
        <is>
          <t>BS</t>
        </is>
      </c>
      <c r="E34" s="9" t="inlineStr">
        <is>
          <t>資産</t>
        </is>
      </c>
      <c r="F34" s="9" t="inlineStr">
        <is>
          <t>固定資産</t>
        </is>
      </c>
      <c r="G34" s="9" t="inlineStr">
        <is>
          <t>Allowance for Doubtful Accounts (Non-current)</t>
        </is>
      </c>
      <c r="H34" s="9" t="inlineStr">
        <is>
          <t>Cr</t>
        </is>
      </c>
      <c r="I34" s="9" t="n">
        <v>-1</v>
      </c>
      <c r="J34" s="9" t="inlineStr">
        <is>
          <t>Non-current</t>
        </is>
      </c>
      <c r="K34" s="9" t="inlineStr">
        <is>
          <t>Non-cash</t>
        </is>
      </c>
      <c r="L34" s="9" t="inlineStr">
        <is>
          <t>Credit Risk</t>
        </is>
      </c>
      <c r="M34" s="10" t="n">
        <v>0</v>
      </c>
      <c r="N34" s="9" t="inlineStr">
        <is>
          <t>控除科目</t>
        </is>
      </c>
    </row>
    <row r="35" ht="18" customHeight="1">
      <c r="A35" s="9" t="inlineStr">
        <is>
          <t>2110</t>
        </is>
      </c>
      <c r="B35" s="9" t="inlineStr">
        <is>
          <t>買掛金</t>
        </is>
      </c>
      <c r="C35" s="9" t="inlineStr">
        <is>
          <t>Notes and Accounts Payable - Trade</t>
        </is>
      </c>
      <c r="D35" s="9" t="inlineStr">
        <is>
          <t>BS</t>
        </is>
      </c>
      <c r="E35" s="9" t="inlineStr">
        <is>
          <t>負債</t>
        </is>
      </c>
      <c r="F35" s="9" t="inlineStr">
        <is>
          <t>流動負債</t>
        </is>
      </c>
      <c r="G35" s="9" t="inlineStr">
        <is>
          <t>Notes and Accounts Payable - Trade</t>
        </is>
      </c>
      <c r="H35" s="9" t="inlineStr">
        <is>
          <t>Cr</t>
        </is>
      </c>
      <c r="I35" s="9" t="n">
        <v>1</v>
      </c>
      <c r="J35" s="9" t="inlineStr">
        <is>
          <t>Current</t>
        </is>
      </c>
      <c r="K35" s="9" t="inlineStr">
        <is>
          <t>Operating</t>
        </is>
      </c>
      <c r="L35" s="9" t="inlineStr">
        <is>
          <t>Working Capital</t>
        </is>
      </c>
      <c r="M35" s="10" t="n">
        <v>10000000</v>
      </c>
      <c r="N35" s="9" t="inlineStr">
        <is>
          <t>営業債務</t>
        </is>
      </c>
    </row>
    <row r="36" ht="18" customHeight="1">
      <c r="A36" s="9" t="inlineStr">
        <is>
          <t>2120</t>
        </is>
      </c>
      <c r="B36" s="9" t="inlineStr">
        <is>
          <t>短期借入金</t>
        </is>
      </c>
      <c r="C36" s="9" t="inlineStr">
        <is>
          <t>Short-term Borrowings</t>
        </is>
      </c>
      <c r="D36" s="9" t="inlineStr">
        <is>
          <t>BS</t>
        </is>
      </c>
      <c r="E36" s="9" t="inlineStr">
        <is>
          <t>負債</t>
        </is>
      </c>
      <c r="F36" s="9" t="inlineStr">
        <is>
          <t>流動負債</t>
        </is>
      </c>
      <c r="G36" s="9" t="inlineStr">
        <is>
          <t>Short-term Borrowings</t>
        </is>
      </c>
      <c r="H36" s="9" t="inlineStr">
        <is>
          <t>Cr</t>
        </is>
      </c>
      <c r="I36" s="9" t="n">
        <v>1</v>
      </c>
      <c r="J36" s="9" t="inlineStr">
        <is>
          <t>Current</t>
        </is>
      </c>
      <c r="K36" s="9" t="inlineStr">
        <is>
          <t>Financing</t>
        </is>
      </c>
      <c r="L36" s="9" t="inlineStr">
        <is>
          <t>Debt</t>
        </is>
      </c>
      <c r="M36" s="10" t="n">
        <v>5000000</v>
      </c>
      <c r="N36" s="9" t="inlineStr"/>
    </row>
    <row r="37" ht="18" customHeight="1">
      <c r="A37" s="9" t="inlineStr">
        <is>
          <t>2130</t>
        </is>
      </c>
      <c r="B37" s="9" t="inlineStr">
        <is>
          <t>1年内返済予定の長期借入金</t>
        </is>
      </c>
      <c r="C37" s="9" t="inlineStr">
        <is>
          <t>Current Portion of Long-term Borrowings</t>
        </is>
      </c>
      <c r="D37" s="9" t="inlineStr">
        <is>
          <t>BS</t>
        </is>
      </c>
      <c r="E37" s="9" t="inlineStr">
        <is>
          <t>負債</t>
        </is>
      </c>
      <c r="F37" s="9" t="inlineStr">
        <is>
          <t>流動負債</t>
        </is>
      </c>
      <c r="G37" s="9" t="inlineStr">
        <is>
          <t>Current Portion of Long-term Borrowings</t>
        </is>
      </c>
      <c r="H37" s="9" t="inlineStr">
        <is>
          <t>Cr</t>
        </is>
      </c>
      <c r="I37" s="9" t="n">
        <v>1</v>
      </c>
      <c r="J37" s="9" t="inlineStr">
        <is>
          <t>Current</t>
        </is>
      </c>
      <c r="K37" s="9" t="inlineStr">
        <is>
          <t>Financing</t>
        </is>
      </c>
      <c r="L37" s="9" t="inlineStr">
        <is>
          <t>Debt</t>
        </is>
      </c>
      <c r="M37" s="10" t="n">
        <v>3000000</v>
      </c>
      <c r="N37" s="9" t="inlineStr"/>
    </row>
    <row r="38" ht="18" customHeight="1">
      <c r="A38" s="9" t="inlineStr">
        <is>
          <t>2140</t>
        </is>
      </c>
      <c r="B38" s="9" t="inlineStr">
        <is>
          <t>未払金</t>
        </is>
      </c>
      <c r="C38" s="9" t="inlineStr">
        <is>
          <t>Accounts Payable - Other</t>
        </is>
      </c>
      <c r="D38" s="9" t="inlineStr">
        <is>
          <t>BS</t>
        </is>
      </c>
      <c r="E38" s="9" t="inlineStr">
        <is>
          <t>負債</t>
        </is>
      </c>
      <c r="F38" s="9" t="inlineStr">
        <is>
          <t>流動負債</t>
        </is>
      </c>
      <c r="G38" s="9" t="inlineStr">
        <is>
          <t>Accounts Payable - Other</t>
        </is>
      </c>
      <c r="H38" s="9" t="inlineStr">
        <is>
          <t>Cr</t>
        </is>
      </c>
      <c r="I38" s="9" t="n">
        <v>1</v>
      </c>
      <c r="J38" s="9" t="inlineStr">
        <is>
          <t>Current</t>
        </is>
      </c>
      <c r="K38" s="9" t="inlineStr">
        <is>
          <t>Operating</t>
        </is>
      </c>
      <c r="L38" s="9" t="inlineStr">
        <is>
          <t>Working Capital</t>
        </is>
      </c>
      <c r="M38" s="10" t="n">
        <v>0</v>
      </c>
      <c r="N38" s="9" t="inlineStr"/>
    </row>
    <row r="39" ht="18" customHeight="1">
      <c r="A39" s="9" t="inlineStr">
        <is>
          <t>2150</t>
        </is>
      </c>
      <c r="B39" s="9" t="inlineStr">
        <is>
          <t>未払費用</t>
        </is>
      </c>
      <c r="C39" s="9" t="inlineStr">
        <is>
          <t>Accrued Expenses</t>
        </is>
      </c>
      <c r="D39" s="9" t="inlineStr">
        <is>
          <t>BS</t>
        </is>
      </c>
      <c r="E39" s="9" t="inlineStr">
        <is>
          <t>負債</t>
        </is>
      </c>
      <c r="F39" s="9" t="inlineStr">
        <is>
          <t>流動負債</t>
        </is>
      </c>
      <c r="G39" s="9" t="inlineStr">
        <is>
          <t>Accrued Expenses</t>
        </is>
      </c>
      <c r="H39" s="9" t="inlineStr">
        <is>
          <t>Cr</t>
        </is>
      </c>
      <c r="I39" s="9" t="n">
        <v>1</v>
      </c>
      <c r="J39" s="9" t="inlineStr">
        <is>
          <t>Current</t>
        </is>
      </c>
      <c r="K39" s="9" t="inlineStr">
        <is>
          <t>Operating</t>
        </is>
      </c>
      <c r="L39" s="9" t="inlineStr">
        <is>
          <t>Working Capital</t>
        </is>
      </c>
      <c r="M39" s="10" t="n">
        <v>2000000</v>
      </c>
      <c r="N39" s="9" t="inlineStr"/>
    </row>
    <row r="40" ht="18" customHeight="1">
      <c r="A40" s="9" t="inlineStr">
        <is>
          <t>2160</t>
        </is>
      </c>
      <c r="B40" s="9" t="inlineStr">
        <is>
          <t>未払法人税等</t>
        </is>
      </c>
      <c r="C40" s="9" t="inlineStr">
        <is>
          <t>Income Taxes Payable</t>
        </is>
      </c>
      <c r="D40" s="9" t="inlineStr">
        <is>
          <t>BS</t>
        </is>
      </c>
      <c r="E40" s="9" t="inlineStr">
        <is>
          <t>負債</t>
        </is>
      </c>
      <c r="F40" s="9" t="inlineStr">
        <is>
          <t>流動負債</t>
        </is>
      </c>
      <c r="G40" s="9" t="inlineStr">
        <is>
          <t>Income Taxes Payable</t>
        </is>
      </c>
      <c r="H40" s="9" t="inlineStr">
        <is>
          <t>Cr</t>
        </is>
      </c>
      <c r="I40" s="9" t="n">
        <v>1</v>
      </c>
      <c r="J40" s="9" t="inlineStr">
        <is>
          <t>Current</t>
        </is>
      </c>
      <c r="K40" s="9" t="inlineStr">
        <is>
          <t>Operating</t>
        </is>
      </c>
      <c r="L40" s="9" t="inlineStr">
        <is>
          <t>Tax</t>
        </is>
      </c>
      <c r="M40" s="10" t="n">
        <v>1500000</v>
      </c>
      <c r="N40" s="9" t="inlineStr"/>
    </row>
    <row r="41" ht="18" customHeight="1">
      <c r="A41" s="9" t="inlineStr">
        <is>
          <t>2170</t>
        </is>
      </c>
      <c r="B41" s="9" t="inlineStr">
        <is>
          <t>契約負債</t>
        </is>
      </c>
      <c r="C41" s="9" t="inlineStr">
        <is>
          <t>Contract Liabilities</t>
        </is>
      </c>
      <c r="D41" s="9" t="inlineStr">
        <is>
          <t>BS</t>
        </is>
      </c>
      <c r="E41" s="9" t="inlineStr">
        <is>
          <t>負債</t>
        </is>
      </c>
      <c r="F41" s="9" t="inlineStr">
        <is>
          <t>流動負債</t>
        </is>
      </c>
      <c r="G41" s="9" t="inlineStr">
        <is>
          <t>Contract Liabilities</t>
        </is>
      </c>
      <c r="H41" s="9" t="inlineStr">
        <is>
          <t>Cr</t>
        </is>
      </c>
      <c r="I41" s="9" t="n">
        <v>1</v>
      </c>
      <c r="J41" s="9" t="inlineStr">
        <is>
          <t>Current</t>
        </is>
      </c>
      <c r="K41" s="9" t="inlineStr">
        <is>
          <t>Operating</t>
        </is>
      </c>
      <c r="L41" s="9" t="inlineStr">
        <is>
          <t>Working Capital</t>
        </is>
      </c>
      <c r="M41" s="10" t="n">
        <v>0</v>
      </c>
      <c r="N41" s="9" t="inlineStr"/>
    </row>
    <row r="42" ht="18" customHeight="1">
      <c r="A42" s="9" t="inlineStr">
        <is>
          <t>2180</t>
        </is>
      </c>
      <c r="B42" s="9" t="inlineStr">
        <is>
          <t>預り金</t>
        </is>
      </c>
      <c r="C42" s="9" t="inlineStr">
        <is>
          <t>Deposits Received</t>
        </is>
      </c>
      <c r="D42" s="9" t="inlineStr">
        <is>
          <t>BS</t>
        </is>
      </c>
      <c r="E42" s="9" t="inlineStr">
        <is>
          <t>負債</t>
        </is>
      </c>
      <c r="F42" s="9" t="inlineStr">
        <is>
          <t>流動負債</t>
        </is>
      </c>
      <c r="G42" s="9" t="inlineStr">
        <is>
          <t>Deposits Received</t>
        </is>
      </c>
      <c r="H42" s="9" t="inlineStr">
        <is>
          <t>Cr</t>
        </is>
      </c>
      <c r="I42" s="9" t="n">
        <v>1</v>
      </c>
      <c r="J42" s="9" t="inlineStr">
        <is>
          <t>Current</t>
        </is>
      </c>
      <c r="K42" s="9" t="inlineStr">
        <is>
          <t>Operating</t>
        </is>
      </c>
      <c r="L42" s="9" t="inlineStr">
        <is>
          <t>Working Capital</t>
        </is>
      </c>
      <c r="M42" s="10" t="n">
        <v>0</v>
      </c>
      <c r="N42" s="9" t="inlineStr"/>
    </row>
    <row r="43" ht="18" customHeight="1">
      <c r="A43" s="9" t="inlineStr">
        <is>
          <t>2190</t>
        </is>
      </c>
      <c r="B43" s="9" t="inlineStr">
        <is>
          <t>賞与引当金</t>
        </is>
      </c>
      <c r="C43" s="9" t="inlineStr">
        <is>
          <t>Provision for Bonuses</t>
        </is>
      </c>
      <c r="D43" s="9" t="inlineStr">
        <is>
          <t>BS</t>
        </is>
      </c>
      <c r="E43" s="9" t="inlineStr">
        <is>
          <t>負債</t>
        </is>
      </c>
      <c r="F43" s="9" t="inlineStr">
        <is>
          <t>流動負債</t>
        </is>
      </c>
      <c r="G43" s="9" t="inlineStr">
        <is>
          <t>Provision for Bonuses</t>
        </is>
      </c>
      <c r="H43" s="9" t="inlineStr">
        <is>
          <t>Cr</t>
        </is>
      </c>
      <c r="I43" s="9" t="n">
        <v>1</v>
      </c>
      <c r="J43" s="9" t="inlineStr">
        <is>
          <t>Current</t>
        </is>
      </c>
      <c r="K43" s="9" t="inlineStr">
        <is>
          <t>Operating</t>
        </is>
      </c>
      <c r="L43" s="9" t="inlineStr">
        <is>
          <t>Provisions</t>
        </is>
      </c>
      <c r="M43" s="10" t="n">
        <v>0</v>
      </c>
      <c r="N43" s="9" t="inlineStr"/>
    </row>
    <row r="44" ht="18" customHeight="1">
      <c r="A44" s="9" t="inlineStr">
        <is>
          <t>2195</t>
        </is>
      </c>
      <c r="B44" s="9" t="inlineStr">
        <is>
          <t>リース債務（流動）</t>
        </is>
      </c>
      <c r="C44" s="9" t="inlineStr">
        <is>
          <t>Current Lease Obligations</t>
        </is>
      </c>
      <c r="D44" s="9" t="inlineStr">
        <is>
          <t>BS</t>
        </is>
      </c>
      <c r="E44" s="9" t="inlineStr">
        <is>
          <t>負債</t>
        </is>
      </c>
      <c r="F44" s="9" t="inlineStr">
        <is>
          <t>流動負債</t>
        </is>
      </c>
      <c r="G44" s="9" t="inlineStr">
        <is>
          <t>Current Lease Obligations</t>
        </is>
      </c>
      <c r="H44" s="9" t="inlineStr">
        <is>
          <t>Cr</t>
        </is>
      </c>
      <c r="I44" s="9" t="n">
        <v>1</v>
      </c>
      <c r="J44" s="9" t="inlineStr">
        <is>
          <t>Current</t>
        </is>
      </c>
      <c r="K44" s="9" t="inlineStr">
        <is>
          <t>Financing</t>
        </is>
      </c>
      <c r="L44" s="9" t="inlineStr">
        <is>
          <t>Debt</t>
        </is>
      </c>
      <c r="M44" s="10" t="n">
        <v>0</v>
      </c>
      <c r="N44" s="9" t="inlineStr"/>
    </row>
    <row r="45" ht="18" customHeight="1">
      <c r="A45" s="9" t="inlineStr">
        <is>
          <t>2198</t>
        </is>
      </c>
      <c r="B45" s="9" t="inlineStr">
        <is>
          <t>その他の流動負債</t>
        </is>
      </c>
      <c r="C45" s="9" t="inlineStr">
        <is>
          <t>Other Current Liabilities</t>
        </is>
      </c>
      <c r="D45" s="9" t="inlineStr">
        <is>
          <t>BS</t>
        </is>
      </c>
      <c r="E45" s="9" t="inlineStr">
        <is>
          <t>負債</t>
        </is>
      </c>
      <c r="F45" s="9" t="inlineStr">
        <is>
          <t>流動負債</t>
        </is>
      </c>
      <c r="G45" s="9" t="inlineStr">
        <is>
          <t>Other Current Liabilities</t>
        </is>
      </c>
      <c r="H45" s="9" t="inlineStr">
        <is>
          <t>Cr</t>
        </is>
      </c>
      <c r="I45" s="9" t="n">
        <v>1</v>
      </c>
      <c r="J45" s="9" t="inlineStr">
        <is>
          <t>Current</t>
        </is>
      </c>
      <c r="K45" s="9" t="inlineStr">
        <is>
          <t>Operating</t>
        </is>
      </c>
      <c r="L45" s="9" t="inlineStr">
        <is>
          <t>Working Capital</t>
        </is>
      </c>
      <c r="M45" s="10" t="n">
        <v>0</v>
      </c>
      <c r="N45" s="9" t="inlineStr"/>
    </row>
    <row r="46" ht="18" customHeight="1">
      <c r="A46" s="9" t="inlineStr">
        <is>
          <t>2510</t>
        </is>
      </c>
      <c r="B46" s="9" t="inlineStr">
        <is>
          <t>社債</t>
        </is>
      </c>
      <c r="C46" s="9" t="inlineStr">
        <is>
          <t>Bonds Payable</t>
        </is>
      </c>
      <c r="D46" s="9" t="inlineStr">
        <is>
          <t>BS</t>
        </is>
      </c>
      <c r="E46" s="9" t="inlineStr">
        <is>
          <t>負債</t>
        </is>
      </c>
      <c r="F46" s="9" t="inlineStr">
        <is>
          <t>固定負債</t>
        </is>
      </c>
      <c r="G46" s="9" t="inlineStr">
        <is>
          <t>Bonds Payable</t>
        </is>
      </c>
      <c r="H46" s="9" t="inlineStr">
        <is>
          <t>Cr</t>
        </is>
      </c>
      <c r="I46" s="9" t="n">
        <v>1</v>
      </c>
      <c r="J46" s="9" t="inlineStr">
        <is>
          <t>Non-current</t>
        </is>
      </c>
      <c r="K46" s="9" t="inlineStr">
        <is>
          <t>Financing</t>
        </is>
      </c>
      <c r="L46" s="9" t="inlineStr">
        <is>
          <t>Debt</t>
        </is>
      </c>
      <c r="M46" s="10" t="n">
        <v>0</v>
      </c>
      <c r="N46" s="9" t="inlineStr"/>
    </row>
    <row r="47" ht="18" customHeight="1">
      <c r="A47" s="9" t="inlineStr">
        <is>
          <t>2520</t>
        </is>
      </c>
      <c r="B47" s="9" t="inlineStr">
        <is>
          <t>長期借入金</t>
        </is>
      </c>
      <c r="C47" s="9" t="inlineStr">
        <is>
          <t>Long-term Borrowings</t>
        </is>
      </c>
      <c r="D47" s="9" t="inlineStr">
        <is>
          <t>BS</t>
        </is>
      </c>
      <c r="E47" s="9" t="inlineStr">
        <is>
          <t>負債</t>
        </is>
      </c>
      <c r="F47" s="9" t="inlineStr">
        <is>
          <t>固定負債</t>
        </is>
      </c>
      <c r="G47" s="9" t="inlineStr">
        <is>
          <t>Long-term Borrowings</t>
        </is>
      </c>
      <c r="H47" s="9" t="inlineStr">
        <is>
          <t>Cr</t>
        </is>
      </c>
      <c r="I47" s="9" t="n">
        <v>1</v>
      </c>
      <c r="J47" s="9" t="inlineStr">
        <is>
          <t>Non-current</t>
        </is>
      </c>
      <c r="K47" s="9" t="inlineStr">
        <is>
          <t>Financing</t>
        </is>
      </c>
      <c r="L47" s="9" t="inlineStr">
        <is>
          <t>Debt</t>
        </is>
      </c>
      <c r="M47" s="10" t="n">
        <v>20000000</v>
      </c>
      <c r="N47" s="9" t="inlineStr"/>
    </row>
    <row r="48" ht="18" customHeight="1">
      <c r="A48" s="9" t="inlineStr">
        <is>
          <t>2530</t>
        </is>
      </c>
      <c r="B48" s="9" t="inlineStr">
        <is>
          <t>長期未払金</t>
        </is>
      </c>
      <c r="C48" s="9" t="inlineStr">
        <is>
          <t>Long-term Accounts Payable - Other</t>
        </is>
      </c>
      <c r="D48" s="9" t="inlineStr">
        <is>
          <t>BS</t>
        </is>
      </c>
      <c r="E48" s="9" t="inlineStr">
        <is>
          <t>負債</t>
        </is>
      </c>
      <c r="F48" s="9" t="inlineStr">
        <is>
          <t>固定負債</t>
        </is>
      </c>
      <c r="G48" s="9" t="inlineStr">
        <is>
          <t>Long-term Accounts Payable - Other</t>
        </is>
      </c>
      <c r="H48" s="9" t="inlineStr">
        <is>
          <t>Cr</t>
        </is>
      </c>
      <c r="I48" s="9" t="n">
        <v>1</v>
      </c>
      <c r="J48" s="9" t="inlineStr">
        <is>
          <t>Non-current</t>
        </is>
      </c>
      <c r="K48" s="9" t="inlineStr">
        <is>
          <t>Operating</t>
        </is>
      </c>
      <c r="L48" s="9" t="inlineStr">
        <is>
          <t>Other Liabilities</t>
        </is>
      </c>
      <c r="M48" s="10" t="n">
        <v>0</v>
      </c>
      <c r="N48" s="9" t="inlineStr"/>
    </row>
    <row r="49" ht="18" customHeight="1">
      <c r="A49" s="9" t="inlineStr">
        <is>
          <t>2540</t>
        </is>
      </c>
      <c r="B49" s="9" t="inlineStr">
        <is>
          <t>リース債務（固定）</t>
        </is>
      </c>
      <c r="C49" s="9" t="inlineStr">
        <is>
          <t>Non-current Lease Obligations</t>
        </is>
      </c>
      <c r="D49" s="9" t="inlineStr">
        <is>
          <t>BS</t>
        </is>
      </c>
      <c r="E49" s="9" t="inlineStr">
        <is>
          <t>負債</t>
        </is>
      </c>
      <c r="F49" s="9" t="inlineStr">
        <is>
          <t>固定負債</t>
        </is>
      </c>
      <c r="G49" s="9" t="inlineStr">
        <is>
          <t>Non-current Lease Obligations</t>
        </is>
      </c>
      <c r="H49" s="9" t="inlineStr">
        <is>
          <t>Cr</t>
        </is>
      </c>
      <c r="I49" s="9" t="n">
        <v>1</v>
      </c>
      <c r="J49" s="9" t="inlineStr">
        <is>
          <t>Non-current</t>
        </is>
      </c>
      <c r="K49" s="9" t="inlineStr">
        <is>
          <t>Financing</t>
        </is>
      </c>
      <c r="L49" s="9" t="inlineStr">
        <is>
          <t>Debt</t>
        </is>
      </c>
      <c r="M49" s="10" t="n">
        <v>0</v>
      </c>
      <c r="N49" s="9" t="inlineStr"/>
    </row>
    <row r="50" ht="18" customHeight="1">
      <c r="A50" s="9" t="inlineStr">
        <is>
          <t>2550</t>
        </is>
      </c>
      <c r="B50" s="9" t="inlineStr">
        <is>
          <t>繰延税金負債</t>
        </is>
      </c>
      <c r="C50" s="9" t="inlineStr">
        <is>
          <t>Deferred Tax Liabilities</t>
        </is>
      </c>
      <c r="D50" s="9" t="inlineStr">
        <is>
          <t>BS</t>
        </is>
      </c>
      <c r="E50" s="9" t="inlineStr">
        <is>
          <t>負債</t>
        </is>
      </c>
      <c r="F50" s="9" t="inlineStr">
        <is>
          <t>固定負債</t>
        </is>
      </c>
      <c r="G50" s="9" t="inlineStr">
        <is>
          <t>Deferred Tax Liabilities</t>
        </is>
      </c>
      <c r="H50" s="9" t="inlineStr">
        <is>
          <t>Cr</t>
        </is>
      </c>
      <c r="I50" s="9" t="n">
        <v>1</v>
      </c>
      <c r="J50" s="9" t="inlineStr">
        <is>
          <t>Non-current</t>
        </is>
      </c>
      <c r="K50" s="9" t="inlineStr">
        <is>
          <t>Non-cash</t>
        </is>
      </c>
      <c r="L50" s="9" t="inlineStr">
        <is>
          <t>Tax</t>
        </is>
      </c>
      <c r="M50" s="10" t="n">
        <v>0</v>
      </c>
      <c r="N50" s="9" t="inlineStr"/>
    </row>
    <row r="51" ht="18" customHeight="1">
      <c r="A51" s="9" t="inlineStr">
        <is>
          <t>2560</t>
        </is>
      </c>
      <c r="B51" s="9" t="inlineStr">
        <is>
          <t>退職給付引当金</t>
        </is>
      </c>
      <c r="C51" s="9" t="inlineStr">
        <is>
          <t>Retirement Benefit Liability</t>
        </is>
      </c>
      <c r="D51" s="9" t="inlineStr">
        <is>
          <t>BS</t>
        </is>
      </c>
      <c r="E51" s="9" t="inlineStr">
        <is>
          <t>負債</t>
        </is>
      </c>
      <c r="F51" s="9" t="inlineStr">
        <is>
          <t>固定負債</t>
        </is>
      </c>
      <c r="G51" s="9" t="inlineStr">
        <is>
          <t>Retirement Benefit Liability</t>
        </is>
      </c>
      <c r="H51" s="9" t="inlineStr">
        <is>
          <t>Cr</t>
        </is>
      </c>
      <c r="I51" s="9" t="n">
        <v>1</v>
      </c>
      <c r="J51" s="9" t="inlineStr">
        <is>
          <t>Non-current</t>
        </is>
      </c>
      <c r="K51" s="9" t="inlineStr">
        <is>
          <t>Non-cash</t>
        </is>
      </c>
      <c r="L51" s="9" t="inlineStr">
        <is>
          <t>Retirement</t>
        </is>
      </c>
      <c r="M51" s="10" t="n">
        <v>0</v>
      </c>
      <c r="N51" s="9" t="inlineStr"/>
    </row>
    <row r="52" ht="18" customHeight="1">
      <c r="A52" s="9" t="inlineStr">
        <is>
          <t>2570</t>
        </is>
      </c>
      <c r="B52" s="9" t="inlineStr">
        <is>
          <t>資産除去債務</t>
        </is>
      </c>
      <c r="C52" s="9" t="inlineStr">
        <is>
          <t>Asset Retirement Obligations</t>
        </is>
      </c>
      <c r="D52" s="9" t="inlineStr">
        <is>
          <t>BS</t>
        </is>
      </c>
      <c r="E52" s="9" t="inlineStr">
        <is>
          <t>負債</t>
        </is>
      </c>
      <c r="F52" s="9" t="inlineStr">
        <is>
          <t>固定負債</t>
        </is>
      </c>
      <c r="G52" s="9" t="inlineStr">
        <is>
          <t>Asset Retirement Obligations</t>
        </is>
      </c>
      <c r="H52" s="9" t="inlineStr">
        <is>
          <t>Cr</t>
        </is>
      </c>
      <c r="I52" s="9" t="n">
        <v>1</v>
      </c>
      <c r="J52" s="9" t="inlineStr">
        <is>
          <t>Non-current</t>
        </is>
      </c>
      <c r="K52" s="9" t="inlineStr">
        <is>
          <t>Non-cash</t>
        </is>
      </c>
      <c r="L52" s="9" t="inlineStr">
        <is>
          <t>Provisions</t>
        </is>
      </c>
      <c r="M52" s="10" t="n">
        <v>0</v>
      </c>
      <c r="N52" s="9" t="inlineStr"/>
    </row>
    <row r="53" ht="18" customHeight="1">
      <c r="A53" s="9" t="inlineStr">
        <is>
          <t>2598</t>
        </is>
      </c>
      <c r="B53" s="9" t="inlineStr">
        <is>
          <t>その他の固定負債</t>
        </is>
      </c>
      <c r="C53" s="9" t="inlineStr">
        <is>
          <t>Other Non-current Liabilities</t>
        </is>
      </c>
      <c r="D53" s="9" t="inlineStr">
        <is>
          <t>BS</t>
        </is>
      </c>
      <c r="E53" s="9" t="inlineStr">
        <is>
          <t>負債</t>
        </is>
      </c>
      <c r="F53" s="9" t="inlineStr">
        <is>
          <t>固定負債</t>
        </is>
      </c>
      <c r="G53" s="9" t="inlineStr">
        <is>
          <t>Other Non-current Liabilities</t>
        </is>
      </c>
      <c r="H53" s="9" t="inlineStr">
        <is>
          <t>Cr</t>
        </is>
      </c>
      <c r="I53" s="9" t="n">
        <v>1</v>
      </c>
      <c r="J53" s="9" t="inlineStr">
        <is>
          <t>Non-current</t>
        </is>
      </c>
      <c r="K53" s="9" t="inlineStr">
        <is>
          <t>Operating</t>
        </is>
      </c>
      <c r="L53" s="9" t="inlineStr">
        <is>
          <t>Other Liabilities</t>
        </is>
      </c>
      <c r="M53" s="10" t="n">
        <v>0</v>
      </c>
      <c r="N53" s="9" t="inlineStr"/>
    </row>
    <row r="54" ht="18" customHeight="1">
      <c r="A54" s="9" t="inlineStr">
        <is>
          <t>3110</t>
        </is>
      </c>
      <c r="B54" s="9" t="inlineStr">
        <is>
          <t>資本金</t>
        </is>
      </c>
      <c r="C54" s="9" t="inlineStr">
        <is>
          <t>Common Stock</t>
        </is>
      </c>
      <c r="D54" s="9" t="inlineStr">
        <is>
          <t>BS</t>
        </is>
      </c>
      <c r="E54" s="9" t="inlineStr">
        <is>
          <t>純資産</t>
        </is>
      </c>
      <c r="F54" s="9" t="inlineStr">
        <is>
          <t>株主資本</t>
        </is>
      </c>
      <c r="G54" s="9" t="inlineStr">
        <is>
          <t>Share Capital</t>
        </is>
      </c>
      <c r="H54" s="9" t="inlineStr">
        <is>
          <t>Cr</t>
        </is>
      </c>
      <c r="I54" s="9" t="n">
        <v>1</v>
      </c>
      <c r="J54" s="9" t="inlineStr">
        <is>
          <t>Equity</t>
        </is>
      </c>
      <c r="K54" s="9" t="inlineStr">
        <is>
          <t>Financing</t>
        </is>
      </c>
      <c r="L54" s="9" t="inlineStr">
        <is>
          <t>Equity</t>
        </is>
      </c>
      <c r="M54" s="10" t="n">
        <v>30000000</v>
      </c>
      <c r="N54" s="9" t="inlineStr"/>
    </row>
    <row r="55" ht="18" customHeight="1">
      <c r="A55" s="9" t="inlineStr">
        <is>
          <t>3120</t>
        </is>
      </c>
      <c r="B55" s="9" t="inlineStr">
        <is>
          <t>資本剰余金</t>
        </is>
      </c>
      <c r="C55" s="9" t="inlineStr">
        <is>
          <t>Capital Surplus</t>
        </is>
      </c>
      <c r="D55" s="9" t="inlineStr">
        <is>
          <t>BS</t>
        </is>
      </c>
      <c r="E55" s="9" t="inlineStr">
        <is>
          <t>純資産</t>
        </is>
      </c>
      <c r="F55" s="9" t="inlineStr">
        <is>
          <t>株主資本</t>
        </is>
      </c>
      <c r="G55" s="9" t="inlineStr">
        <is>
          <t>Capital Surplus</t>
        </is>
      </c>
      <c r="H55" s="9" t="inlineStr">
        <is>
          <t>Cr</t>
        </is>
      </c>
      <c r="I55" s="9" t="n">
        <v>1</v>
      </c>
      <c r="J55" s="9" t="inlineStr">
        <is>
          <t>Equity</t>
        </is>
      </c>
      <c r="K55" s="9" t="inlineStr">
        <is>
          <t>Financing</t>
        </is>
      </c>
      <c r="L55" s="9" t="inlineStr">
        <is>
          <t>Equity</t>
        </is>
      </c>
      <c r="M55" s="10" t="n">
        <v>5000000</v>
      </c>
      <c r="N55" s="9" t="inlineStr"/>
    </row>
    <row r="56" ht="18" customHeight="1">
      <c r="A56" s="9" t="inlineStr">
        <is>
          <t>3130</t>
        </is>
      </c>
      <c r="B56" s="9" t="inlineStr">
        <is>
          <t>利益剰余金</t>
        </is>
      </c>
      <c r="C56" s="9" t="inlineStr">
        <is>
          <t>Retained Earnings</t>
        </is>
      </c>
      <c r="D56" s="9" t="inlineStr">
        <is>
          <t>BS</t>
        </is>
      </c>
      <c r="E56" s="9" t="inlineStr">
        <is>
          <t>純資産</t>
        </is>
      </c>
      <c r="F56" s="9" t="inlineStr">
        <is>
          <t>株主資本</t>
        </is>
      </c>
      <c r="G56" s="9" t="inlineStr">
        <is>
          <t>Retained Earnings</t>
        </is>
      </c>
      <c r="H56" s="9" t="inlineStr">
        <is>
          <t>Cr</t>
        </is>
      </c>
      <c r="I56" s="9" t="n">
        <v>1</v>
      </c>
      <c r="J56" s="9" t="inlineStr">
        <is>
          <t>Equity</t>
        </is>
      </c>
      <c r="K56" s="9" t="inlineStr">
        <is>
          <t>Financing</t>
        </is>
      </c>
      <c r="L56" s="9" t="inlineStr">
        <is>
          <t>Equity</t>
        </is>
      </c>
      <c r="M56" s="10" t="n">
        <v>51000000</v>
      </c>
      <c r="N56" s="9" t="inlineStr"/>
    </row>
    <row r="57" ht="18" customHeight="1">
      <c r="A57" s="9" t="inlineStr">
        <is>
          <t>3140</t>
        </is>
      </c>
      <c r="B57" s="9" t="inlineStr">
        <is>
          <t>自己株式</t>
        </is>
      </c>
      <c r="C57" s="9" t="inlineStr">
        <is>
          <t>Treasury Stock</t>
        </is>
      </c>
      <c r="D57" s="9" t="inlineStr">
        <is>
          <t>BS</t>
        </is>
      </c>
      <c r="E57" s="9" t="inlineStr">
        <is>
          <t>純資産</t>
        </is>
      </c>
      <c r="F57" s="9" t="inlineStr">
        <is>
          <t>株主資本</t>
        </is>
      </c>
      <c r="G57" s="9" t="inlineStr">
        <is>
          <t>Treasury Stock</t>
        </is>
      </c>
      <c r="H57" s="9" t="inlineStr">
        <is>
          <t>Dr</t>
        </is>
      </c>
      <c r="I57" s="9" t="n">
        <v>-1</v>
      </c>
      <c r="J57" s="9" t="inlineStr">
        <is>
          <t>Equity</t>
        </is>
      </c>
      <c r="K57" s="9" t="inlineStr">
        <is>
          <t>Financing</t>
        </is>
      </c>
      <c r="L57" s="9" t="inlineStr">
        <is>
          <t>Equity</t>
        </is>
      </c>
      <c r="M57" s="10" t="n">
        <v>0</v>
      </c>
      <c r="N57" s="9" t="inlineStr">
        <is>
          <t>控除科目</t>
        </is>
      </c>
    </row>
    <row r="58" ht="18" customHeight="1">
      <c r="A58" s="9" t="inlineStr">
        <is>
          <t>3150</t>
        </is>
      </c>
      <c r="B58" s="9" t="inlineStr">
        <is>
          <t>その他有価証券評価差額金</t>
        </is>
      </c>
      <c r="C58" s="9" t="inlineStr">
        <is>
          <t>Valuation Difference on Available-for-Sale Securities</t>
        </is>
      </c>
      <c r="D58" s="9" t="inlineStr">
        <is>
          <t>BS</t>
        </is>
      </c>
      <c r="E58" s="9" t="inlineStr">
        <is>
          <t>純資産</t>
        </is>
      </c>
      <c r="F58" s="9" t="inlineStr">
        <is>
          <t>その他の包括利益累計額</t>
        </is>
      </c>
      <c r="G58" s="9" t="inlineStr">
        <is>
          <t>Valuation Difference on Available-for-Sale Securities</t>
        </is>
      </c>
      <c r="H58" s="9" t="inlineStr">
        <is>
          <t>Cr</t>
        </is>
      </c>
      <c r="I58" s="9" t="n">
        <v>1</v>
      </c>
      <c r="J58" s="9" t="inlineStr">
        <is>
          <t>Equity</t>
        </is>
      </c>
      <c r="K58" s="9" t="inlineStr">
        <is>
          <t>Non-cash</t>
        </is>
      </c>
      <c r="L58" s="9" t="inlineStr">
        <is>
          <t>OCI</t>
        </is>
      </c>
      <c r="M58" s="10" t="n">
        <v>0</v>
      </c>
      <c r="N58" s="9" t="inlineStr"/>
    </row>
    <row r="59" ht="18" customHeight="1">
      <c r="A59" s="9" t="inlineStr">
        <is>
          <t>3160</t>
        </is>
      </c>
      <c r="B59" s="9" t="inlineStr">
        <is>
          <t>為替換算調整勘定</t>
        </is>
      </c>
      <c r="C59" s="9" t="inlineStr">
        <is>
          <t>Foreign Currency Translation Adjustment</t>
        </is>
      </c>
      <c r="D59" s="9" t="inlineStr">
        <is>
          <t>BS</t>
        </is>
      </c>
      <c r="E59" s="9" t="inlineStr">
        <is>
          <t>純資産</t>
        </is>
      </c>
      <c r="F59" s="9" t="inlineStr">
        <is>
          <t>その他の包括利益累計額</t>
        </is>
      </c>
      <c r="G59" s="9" t="inlineStr">
        <is>
          <t>Foreign Currency Translation Adjustment</t>
        </is>
      </c>
      <c r="H59" s="9" t="inlineStr">
        <is>
          <t>Cr</t>
        </is>
      </c>
      <c r="I59" s="9" t="n">
        <v>1</v>
      </c>
      <c r="J59" s="9" t="inlineStr">
        <is>
          <t>Equity</t>
        </is>
      </c>
      <c r="K59" s="9" t="inlineStr">
        <is>
          <t>Non-cash</t>
        </is>
      </c>
      <c r="L59" s="9" t="inlineStr">
        <is>
          <t>OCI</t>
        </is>
      </c>
      <c r="M59" s="10" t="n">
        <v>0</v>
      </c>
      <c r="N59" s="9" t="inlineStr"/>
    </row>
    <row r="60" ht="18" customHeight="1">
      <c r="A60" s="9" t="inlineStr">
        <is>
          <t>3170</t>
        </is>
      </c>
      <c r="B60" s="9" t="inlineStr">
        <is>
          <t>非支配株主持分</t>
        </is>
      </c>
      <c r="C60" s="9" t="inlineStr">
        <is>
          <t>Non-controlling Interests</t>
        </is>
      </c>
      <c r="D60" s="9" t="inlineStr">
        <is>
          <t>BS</t>
        </is>
      </c>
      <c r="E60" s="9" t="inlineStr">
        <is>
          <t>純資産</t>
        </is>
      </c>
      <c r="F60" s="9" t="inlineStr">
        <is>
          <t>非支配株主持分</t>
        </is>
      </c>
      <c r="G60" s="9" t="inlineStr">
        <is>
          <t>Non-controlling Interests</t>
        </is>
      </c>
      <c r="H60" s="9" t="inlineStr">
        <is>
          <t>Cr</t>
        </is>
      </c>
      <c r="I60" s="9" t="n">
        <v>1</v>
      </c>
      <c r="J60" s="9" t="inlineStr">
        <is>
          <t>Equity</t>
        </is>
      </c>
      <c r="K60" s="9" t="inlineStr">
        <is>
          <t>Financing</t>
        </is>
      </c>
      <c r="L60" s="9" t="inlineStr">
        <is>
          <t>Equity</t>
        </is>
      </c>
      <c r="M60" s="10" t="n">
        <v>0</v>
      </c>
      <c r="N60" s="9" t="inlineStr"/>
    </row>
    <row r="61" ht="18" customHeight="1">
      <c r="A61" s="9" t="inlineStr">
        <is>
          <t>4110</t>
        </is>
      </c>
      <c r="B61" s="9" t="inlineStr">
        <is>
          <t>売上高</t>
        </is>
      </c>
      <c r="C61" s="9" t="inlineStr">
        <is>
          <t>Net Sales</t>
        </is>
      </c>
      <c r="D61" s="9" t="inlineStr">
        <is>
          <t>PL</t>
        </is>
      </c>
      <c r="E61" s="9" t="inlineStr">
        <is>
          <t>売上高</t>
        </is>
      </c>
      <c r="F61" s="9" t="inlineStr">
        <is>
          <t>売上高</t>
        </is>
      </c>
      <c r="G61" s="9" t="inlineStr">
        <is>
          <t>Net Sales</t>
        </is>
      </c>
      <c r="H61" s="9" t="inlineStr">
        <is>
          <t>Cr</t>
        </is>
      </c>
      <c r="I61" s="9" t="n">
        <v>1</v>
      </c>
      <c r="J61" s="9" t="inlineStr">
        <is>
          <t>PL</t>
        </is>
      </c>
      <c r="K61" s="9" t="inlineStr">
        <is>
          <t>Operating</t>
        </is>
      </c>
      <c r="L61" s="9" t="inlineStr">
        <is>
          <t>Revenue</t>
        </is>
      </c>
      <c r="M61" s="10" t="n">
        <v>0</v>
      </c>
      <c r="N61" s="9" t="inlineStr"/>
    </row>
    <row r="62" ht="18" customHeight="1">
      <c r="A62" s="9" t="inlineStr">
        <is>
          <t>4120</t>
        </is>
      </c>
      <c r="B62" s="9" t="inlineStr">
        <is>
          <t>売上値引戻り高</t>
        </is>
      </c>
      <c r="C62" s="9" t="inlineStr">
        <is>
          <t>Sales Returns and Allowances</t>
        </is>
      </c>
      <c r="D62" s="9" t="inlineStr">
        <is>
          <t>PL</t>
        </is>
      </c>
      <c r="E62" s="9" t="inlineStr">
        <is>
          <t>売上高</t>
        </is>
      </c>
      <c r="F62" s="9" t="inlineStr">
        <is>
          <t>売上控除</t>
        </is>
      </c>
      <c r="G62" s="9" t="inlineStr">
        <is>
          <t>Sales Returns and Allowances</t>
        </is>
      </c>
      <c r="H62" s="9" t="inlineStr">
        <is>
          <t>Dr</t>
        </is>
      </c>
      <c r="I62" s="9" t="n">
        <v>-1</v>
      </c>
      <c r="J62" s="9" t="inlineStr">
        <is>
          <t>PL</t>
        </is>
      </c>
      <c r="K62" s="9" t="inlineStr">
        <is>
          <t>Operating</t>
        </is>
      </c>
      <c r="L62" s="9" t="inlineStr">
        <is>
          <t>Revenue</t>
        </is>
      </c>
      <c r="M62" s="10" t="n">
        <v>0</v>
      </c>
      <c r="N62" s="9" t="inlineStr">
        <is>
          <t>控除科目</t>
        </is>
      </c>
    </row>
    <row r="63" ht="18" customHeight="1">
      <c r="A63" s="9" t="inlineStr">
        <is>
          <t>5110</t>
        </is>
      </c>
      <c r="B63" s="9" t="inlineStr">
        <is>
          <t>売上原価</t>
        </is>
      </c>
      <c r="C63" s="9" t="inlineStr">
        <is>
          <t>Cost of Sales</t>
        </is>
      </c>
      <c r="D63" s="9" t="inlineStr">
        <is>
          <t>PL</t>
        </is>
      </c>
      <c r="E63" s="9" t="inlineStr">
        <is>
          <t>売上原価</t>
        </is>
      </c>
      <c r="F63" s="9" t="inlineStr">
        <is>
          <t>売上原価</t>
        </is>
      </c>
      <c r="G63" s="9" t="inlineStr">
        <is>
          <t>Cost of Sales</t>
        </is>
      </c>
      <c r="H63" s="9" t="inlineStr">
        <is>
          <t>Dr</t>
        </is>
      </c>
      <c r="I63" s="9" t="n">
        <v>1</v>
      </c>
      <c r="J63" s="9" t="inlineStr">
        <is>
          <t>PL</t>
        </is>
      </c>
      <c r="K63" s="9" t="inlineStr">
        <is>
          <t>Operating</t>
        </is>
      </c>
      <c r="L63" s="9" t="inlineStr">
        <is>
          <t>COGS</t>
        </is>
      </c>
      <c r="M63" s="10" t="n">
        <v>0</v>
      </c>
      <c r="N63" s="9" t="inlineStr"/>
    </row>
    <row r="64" ht="18" customHeight="1">
      <c r="A64" s="9" t="inlineStr">
        <is>
          <t>6120</t>
        </is>
      </c>
      <c r="B64" s="9" t="inlineStr">
        <is>
          <t>給料手当</t>
        </is>
      </c>
      <c r="C64" s="9" t="inlineStr">
        <is>
          <t>Salaries and Allowances</t>
        </is>
      </c>
      <c r="D64" s="9" t="inlineStr">
        <is>
          <t>PL</t>
        </is>
      </c>
      <c r="E64" s="9" t="inlineStr">
        <is>
          <t>販管費</t>
        </is>
      </c>
      <c r="F64" s="9" t="inlineStr">
        <is>
          <t>人件費</t>
        </is>
      </c>
      <c r="G64" s="9" t="inlineStr">
        <is>
          <t>Salaries and Allowances</t>
        </is>
      </c>
      <c r="H64" s="9" t="inlineStr">
        <is>
          <t>Dr</t>
        </is>
      </c>
      <c r="I64" s="9" t="n">
        <v>1</v>
      </c>
      <c r="J64" s="9" t="inlineStr">
        <is>
          <t>PL</t>
        </is>
      </c>
      <c r="K64" s="9" t="inlineStr">
        <is>
          <t>Operating</t>
        </is>
      </c>
      <c r="L64" s="9" t="inlineStr">
        <is>
          <t>SG&amp;A</t>
        </is>
      </c>
      <c r="M64" s="10" t="n">
        <v>0</v>
      </c>
      <c r="N64" s="9" t="inlineStr"/>
    </row>
    <row r="65" ht="18" customHeight="1">
      <c r="A65" s="9" t="inlineStr">
        <is>
          <t>6130</t>
        </is>
      </c>
      <c r="B65" s="9" t="inlineStr">
        <is>
          <t>賞与</t>
        </is>
      </c>
      <c r="C65" s="9" t="inlineStr">
        <is>
          <t>Bonuses</t>
        </is>
      </c>
      <c r="D65" s="9" t="inlineStr">
        <is>
          <t>PL</t>
        </is>
      </c>
      <c r="E65" s="9" t="inlineStr">
        <is>
          <t>販管費</t>
        </is>
      </c>
      <c r="F65" s="9" t="inlineStr">
        <is>
          <t>人件費</t>
        </is>
      </c>
      <c r="G65" s="9" t="inlineStr">
        <is>
          <t>Bonuses</t>
        </is>
      </c>
      <c r="H65" s="9" t="inlineStr">
        <is>
          <t>Dr</t>
        </is>
      </c>
      <c r="I65" s="9" t="n">
        <v>1</v>
      </c>
      <c r="J65" s="9" t="inlineStr">
        <is>
          <t>PL</t>
        </is>
      </c>
      <c r="K65" s="9" t="inlineStr">
        <is>
          <t>Operating</t>
        </is>
      </c>
      <c r="L65" s="9" t="inlineStr">
        <is>
          <t>SG&amp;A</t>
        </is>
      </c>
      <c r="M65" s="10" t="n">
        <v>0</v>
      </c>
      <c r="N65" s="9" t="inlineStr"/>
    </row>
    <row r="66" ht="18" customHeight="1">
      <c r="A66" s="9" t="inlineStr">
        <is>
          <t>6140</t>
        </is>
      </c>
      <c r="B66" s="9" t="inlineStr">
        <is>
          <t>福利厚生費</t>
        </is>
      </c>
      <c r="C66" s="9" t="inlineStr">
        <is>
          <t>Welfare Expense</t>
        </is>
      </c>
      <c r="D66" s="9" t="inlineStr">
        <is>
          <t>PL</t>
        </is>
      </c>
      <c r="E66" s="9" t="inlineStr">
        <is>
          <t>販管費</t>
        </is>
      </c>
      <c r="F66" s="9" t="inlineStr">
        <is>
          <t>人件費</t>
        </is>
      </c>
      <c r="G66" s="9" t="inlineStr">
        <is>
          <t>Welfare Expense</t>
        </is>
      </c>
      <c r="H66" s="9" t="inlineStr">
        <is>
          <t>Dr</t>
        </is>
      </c>
      <c r="I66" s="9" t="n">
        <v>1</v>
      </c>
      <c r="J66" s="9" t="inlineStr">
        <is>
          <t>PL</t>
        </is>
      </c>
      <c r="K66" s="9" t="inlineStr">
        <is>
          <t>Operating</t>
        </is>
      </c>
      <c r="L66" s="9" t="inlineStr">
        <is>
          <t>SG&amp;A</t>
        </is>
      </c>
      <c r="M66" s="10" t="n">
        <v>0</v>
      </c>
      <c r="N66" s="9" t="inlineStr"/>
    </row>
    <row r="67" ht="18" customHeight="1">
      <c r="A67" s="9" t="inlineStr">
        <is>
          <t>6150</t>
        </is>
      </c>
      <c r="B67" s="9" t="inlineStr">
        <is>
          <t>販売手数料</t>
        </is>
      </c>
      <c r="C67" s="9" t="inlineStr">
        <is>
          <t>Commission Expense</t>
        </is>
      </c>
      <c r="D67" s="9" t="inlineStr">
        <is>
          <t>PL</t>
        </is>
      </c>
      <c r="E67" s="9" t="inlineStr">
        <is>
          <t>販管費</t>
        </is>
      </c>
      <c r="F67" s="9" t="inlineStr">
        <is>
          <t>販売費</t>
        </is>
      </c>
      <c r="G67" s="9" t="inlineStr">
        <is>
          <t>Commission Expense</t>
        </is>
      </c>
      <c r="H67" s="9" t="inlineStr">
        <is>
          <t>Dr</t>
        </is>
      </c>
      <c r="I67" s="9" t="n">
        <v>1</v>
      </c>
      <c r="J67" s="9" t="inlineStr">
        <is>
          <t>PL</t>
        </is>
      </c>
      <c r="K67" s="9" t="inlineStr">
        <is>
          <t>Operating</t>
        </is>
      </c>
      <c r="L67" s="9" t="inlineStr">
        <is>
          <t>SG&amp;A</t>
        </is>
      </c>
      <c r="M67" s="10" t="n">
        <v>0</v>
      </c>
      <c r="N67" s="9" t="inlineStr"/>
    </row>
    <row r="68" ht="18" customHeight="1">
      <c r="A68" s="9" t="inlineStr">
        <is>
          <t>6160</t>
        </is>
      </c>
      <c r="B68" s="9" t="inlineStr">
        <is>
          <t>広告宣伝費</t>
        </is>
      </c>
      <c r="C68" s="9" t="inlineStr">
        <is>
          <t>Advertising Expense</t>
        </is>
      </c>
      <c r="D68" s="9" t="inlineStr">
        <is>
          <t>PL</t>
        </is>
      </c>
      <c r="E68" s="9" t="inlineStr">
        <is>
          <t>販管費</t>
        </is>
      </c>
      <c r="F68" s="9" t="inlineStr">
        <is>
          <t>販売費</t>
        </is>
      </c>
      <c r="G68" s="9" t="inlineStr">
        <is>
          <t>Advertising Expense</t>
        </is>
      </c>
      <c r="H68" s="9" t="inlineStr">
        <is>
          <t>Dr</t>
        </is>
      </c>
      <c r="I68" s="9" t="n">
        <v>1</v>
      </c>
      <c r="J68" s="9" t="inlineStr">
        <is>
          <t>PL</t>
        </is>
      </c>
      <c r="K68" s="9" t="inlineStr">
        <is>
          <t>Operating</t>
        </is>
      </c>
      <c r="L68" s="9" t="inlineStr">
        <is>
          <t>SG&amp;A</t>
        </is>
      </c>
      <c r="M68" s="10" t="n">
        <v>0</v>
      </c>
      <c r="N68" s="9" t="inlineStr"/>
    </row>
    <row r="69" ht="18" customHeight="1">
      <c r="A69" s="9" t="inlineStr">
        <is>
          <t>6170</t>
        </is>
      </c>
      <c r="B69" s="9" t="inlineStr">
        <is>
          <t>荷造運賃</t>
        </is>
      </c>
      <c r="C69" s="9" t="inlineStr">
        <is>
          <t>Freight and Packing</t>
        </is>
      </c>
      <c r="D69" s="9" t="inlineStr">
        <is>
          <t>PL</t>
        </is>
      </c>
      <c r="E69" s="9" t="inlineStr">
        <is>
          <t>販管費</t>
        </is>
      </c>
      <c r="F69" s="9" t="inlineStr">
        <is>
          <t>販売費</t>
        </is>
      </c>
      <c r="G69" s="9" t="inlineStr">
        <is>
          <t>Freight and Packing</t>
        </is>
      </c>
      <c r="H69" s="9" t="inlineStr">
        <is>
          <t>Dr</t>
        </is>
      </c>
      <c r="I69" s="9" t="n">
        <v>1</v>
      </c>
      <c r="J69" s="9" t="inlineStr">
        <is>
          <t>PL</t>
        </is>
      </c>
      <c r="K69" s="9" t="inlineStr">
        <is>
          <t>Operating</t>
        </is>
      </c>
      <c r="L69" s="9" t="inlineStr">
        <is>
          <t>SG&amp;A</t>
        </is>
      </c>
      <c r="M69" s="10" t="n">
        <v>0</v>
      </c>
      <c r="N69" s="9" t="inlineStr"/>
    </row>
    <row r="70" ht="18" customHeight="1">
      <c r="A70" s="9" t="inlineStr">
        <is>
          <t>6180</t>
        </is>
      </c>
      <c r="B70" s="9" t="inlineStr">
        <is>
          <t>旅費交通費</t>
        </is>
      </c>
      <c r="C70" s="9" t="inlineStr">
        <is>
          <t>Travel and Transportation</t>
        </is>
      </c>
      <c r="D70" s="9" t="inlineStr">
        <is>
          <t>PL</t>
        </is>
      </c>
      <c r="E70" s="9" t="inlineStr">
        <is>
          <t>販管費</t>
        </is>
      </c>
      <c r="F70" s="9" t="inlineStr">
        <is>
          <t>一般管理費</t>
        </is>
      </c>
      <c r="G70" s="9" t="inlineStr">
        <is>
          <t>Travel and Transportation</t>
        </is>
      </c>
      <c r="H70" s="9" t="inlineStr">
        <is>
          <t>Dr</t>
        </is>
      </c>
      <c r="I70" s="9" t="n">
        <v>1</v>
      </c>
      <c r="J70" s="9" t="inlineStr">
        <is>
          <t>PL</t>
        </is>
      </c>
      <c r="K70" s="9" t="inlineStr">
        <is>
          <t>Operating</t>
        </is>
      </c>
      <c r="L70" s="9" t="inlineStr">
        <is>
          <t>SG&amp;A</t>
        </is>
      </c>
      <c r="M70" s="10" t="n">
        <v>0</v>
      </c>
      <c r="N70" s="9" t="inlineStr"/>
    </row>
    <row r="71" ht="18" customHeight="1">
      <c r="A71" s="9" t="inlineStr">
        <is>
          <t>6190</t>
        </is>
      </c>
      <c r="B71" s="9" t="inlineStr">
        <is>
          <t>通信費</t>
        </is>
      </c>
      <c r="C71" s="9" t="inlineStr">
        <is>
          <t>Communication Expense</t>
        </is>
      </c>
      <c r="D71" s="9" t="inlineStr">
        <is>
          <t>PL</t>
        </is>
      </c>
      <c r="E71" s="9" t="inlineStr">
        <is>
          <t>販管費</t>
        </is>
      </c>
      <c r="F71" s="9" t="inlineStr">
        <is>
          <t>一般管理費</t>
        </is>
      </c>
      <c r="G71" s="9" t="inlineStr">
        <is>
          <t>Communication Expense</t>
        </is>
      </c>
      <c r="H71" s="9" t="inlineStr">
        <is>
          <t>Dr</t>
        </is>
      </c>
      <c r="I71" s="9" t="n">
        <v>1</v>
      </c>
      <c r="J71" s="9" t="inlineStr">
        <is>
          <t>PL</t>
        </is>
      </c>
      <c r="K71" s="9" t="inlineStr">
        <is>
          <t>Operating</t>
        </is>
      </c>
      <c r="L71" s="9" t="inlineStr">
        <is>
          <t>SG&amp;A</t>
        </is>
      </c>
      <c r="M71" s="10" t="n">
        <v>0</v>
      </c>
      <c r="N71" s="9" t="inlineStr"/>
    </row>
    <row r="72" ht="18" customHeight="1">
      <c r="A72" s="9" t="inlineStr">
        <is>
          <t>6200</t>
        </is>
      </c>
      <c r="B72" s="9" t="inlineStr">
        <is>
          <t>地代家賃</t>
        </is>
      </c>
      <c r="C72" s="9" t="inlineStr">
        <is>
          <t>Rent Expense</t>
        </is>
      </c>
      <c r="D72" s="9" t="inlineStr">
        <is>
          <t>PL</t>
        </is>
      </c>
      <c r="E72" s="9" t="inlineStr">
        <is>
          <t>販管費</t>
        </is>
      </c>
      <c r="F72" s="9" t="inlineStr">
        <is>
          <t>一般管理費</t>
        </is>
      </c>
      <c r="G72" s="9" t="inlineStr">
        <is>
          <t>Rent Expense</t>
        </is>
      </c>
      <c r="H72" s="9" t="inlineStr">
        <is>
          <t>Dr</t>
        </is>
      </c>
      <c r="I72" s="9" t="n">
        <v>1</v>
      </c>
      <c r="J72" s="9" t="inlineStr">
        <is>
          <t>PL</t>
        </is>
      </c>
      <c r="K72" s="9" t="inlineStr">
        <is>
          <t>Operating</t>
        </is>
      </c>
      <c r="L72" s="9" t="inlineStr">
        <is>
          <t>SG&amp;A</t>
        </is>
      </c>
      <c r="M72" s="10" t="n">
        <v>0</v>
      </c>
      <c r="N72" s="9" t="inlineStr"/>
    </row>
    <row r="73" ht="18" customHeight="1">
      <c r="A73" s="9" t="inlineStr">
        <is>
          <t>6210</t>
        </is>
      </c>
      <c r="B73" s="9" t="inlineStr">
        <is>
          <t>減価償却費</t>
        </is>
      </c>
      <c r="C73" s="9" t="inlineStr">
        <is>
          <t>Depreciation</t>
        </is>
      </c>
      <c r="D73" s="9" t="inlineStr">
        <is>
          <t>PL</t>
        </is>
      </c>
      <c r="E73" s="9" t="inlineStr">
        <is>
          <t>販管費</t>
        </is>
      </c>
      <c r="F73" s="9" t="inlineStr">
        <is>
          <t>一般管理費</t>
        </is>
      </c>
      <c r="G73" s="9" t="inlineStr">
        <is>
          <t>Depreciation</t>
        </is>
      </c>
      <c r="H73" s="9" t="inlineStr">
        <is>
          <t>Dr</t>
        </is>
      </c>
      <c r="I73" s="9" t="n">
        <v>1</v>
      </c>
      <c r="J73" s="9" t="inlineStr">
        <is>
          <t>PL</t>
        </is>
      </c>
      <c r="K73" s="9" t="inlineStr">
        <is>
          <t>Operating</t>
        </is>
      </c>
      <c r="L73" s="9" t="inlineStr">
        <is>
          <t>SG&amp;A</t>
        </is>
      </c>
      <c r="M73" s="10" t="n">
        <v>0</v>
      </c>
      <c r="N73" s="9" t="inlineStr"/>
    </row>
    <row r="74" ht="18" customHeight="1">
      <c r="A74" s="9" t="inlineStr">
        <is>
          <t>6215</t>
        </is>
      </c>
      <c r="B74" s="9" t="inlineStr">
        <is>
          <t>のれん償却</t>
        </is>
      </c>
      <c r="C74" s="9" t="inlineStr">
        <is>
          <t>Amortization of Goodwill</t>
        </is>
      </c>
      <c r="D74" s="9" t="inlineStr">
        <is>
          <t>PL</t>
        </is>
      </c>
      <c r="E74" s="9" t="inlineStr">
        <is>
          <t>販管費</t>
        </is>
      </c>
      <c r="F74" s="9" t="inlineStr">
        <is>
          <t>一般管理費</t>
        </is>
      </c>
      <c r="G74" s="9" t="inlineStr">
        <is>
          <t>Amortization of Goodwill</t>
        </is>
      </c>
      <c r="H74" s="9" t="inlineStr">
        <is>
          <t>Dr</t>
        </is>
      </c>
      <c r="I74" s="9" t="n">
        <v>1</v>
      </c>
      <c r="J74" s="9" t="inlineStr">
        <is>
          <t>PL</t>
        </is>
      </c>
      <c r="K74" s="9" t="inlineStr">
        <is>
          <t>Operating</t>
        </is>
      </c>
      <c r="L74" s="9" t="inlineStr">
        <is>
          <t>SG&amp;A</t>
        </is>
      </c>
      <c r="M74" s="10" t="n">
        <v>0</v>
      </c>
      <c r="N74" s="9" t="inlineStr"/>
    </row>
    <row r="75" ht="18" customHeight="1">
      <c r="A75" s="9" t="inlineStr">
        <is>
          <t>6220</t>
        </is>
      </c>
      <c r="B75" s="9" t="inlineStr">
        <is>
          <t>修繕費</t>
        </is>
      </c>
      <c r="C75" s="9" t="inlineStr">
        <is>
          <t>Repairs and Maintenance</t>
        </is>
      </c>
      <c r="D75" s="9" t="inlineStr">
        <is>
          <t>PL</t>
        </is>
      </c>
      <c r="E75" s="9" t="inlineStr">
        <is>
          <t>販管費</t>
        </is>
      </c>
      <c r="F75" s="9" t="inlineStr">
        <is>
          <t>一般管理費</t>
        </is>
      </c>
      <c r="G75" s="9" t="inlineStr">
        <is>
          <t>Repairs and Maintenance</t>
        </is>
      </c>
      <c r="H75" s="9" t="inlineStr">
        <is>
          <t>Dr</t>
        </is>
      </c>
      <c r="I75" s="9" t="n">
        <v>1</v>
      </c>
      <c r="J75" s="9" t="inlineStr">
        <is>
          <t>PL</t>
        </is>
      </c>
      <c r="K75" s="9" t="inlineStr">
        <is>
          <t>Operating</t>
        </is>
      </c>
      <c r="L75" s="9" t="inlineStr">
        <is>
          <t>SG&amp;A</t>
        </is>
      </c>
      <c r="M75" s="10" t="n">
        <v>0</v>
      </c>
      <c r="N75" s="9" t="inlineStr"/>
    </row>
    <row r="76" ht="18" customHeight="1">
      <c r="A76" s="9" t="inlineStr">
        <is>
          <t>6230</t>
        </is>
      </c>
      <c r="B76" s="9" t="inlineStr">
        <is>
          <t>消耗品費</t>
        </is>
      </c>
      <c r="C76" s="9" t="inlineStr">
        <is>
          <t>Supplies Expense</t>
        </is>
      </c>
      <c r="D76" s="9" t="inlineStr">
        <is>
          <t>PL</t>
        </is>
      </c>
      <c r="E76" s="9" t="inlineStr">
        <is>
          <t>販管費</t>
        </is>
      </c>
      <c r="F76" s="9" t="inlineStr">
        <is>
          <t>一般管理費</t>
        </is>
      </c>
      <c r="G76" s="9" t="inlineStr">
        <is>
          <t>Supplies Expense</t>
        </is>
      </c>
      <c r="H76" s="9" t="inlineStr">
        <is>
          <t>Dr</t>
        </is>
      </c>
      <c r="I76" s="9" t="n">
        <v>1</v>
      </c>
      <c r="J76" s="9" t="inlineStr">
        <is>
          <t>PL</t>
        </is>
      </c>
      <c r="K76" s="9" t="inlineStr">
        <is>
          <t>Operating</t>
        </is>
      </c>
      <c r="L76" s="9" t="inlineStr">
        <is>
          <t>SG&amp;A</t>
        </is>
      </c>
      <c r="M76" s="10" t="n">
        <v>0</v>
      </c>
      <c r="N76" s="9" t="inlineStr"/>
    </row>
    <row r="77" ht="18" customHeight="1">
      <c r="A77" s="9" t="inlineStr">
        <is>
          <t>6240</t>
        </is>
      </c>
      <c r="B77" s="9" t="inlineStr">
        <is>
          <t>支払報酬料</t>
        </is>
      </c>
      <c r="C77" s="9" t="inlineStr">
        <is>
          <t>Professional Fees</t>
        </is>
      </c>
      <c r="D77" s="9" t="inlineStr">
        <is>
          <t>PL</t>
        </is>
      </c>
      <c r="E77" s="9" t="inlineStr">
        <is>
          <t>販管費</t>
        </is>
      </c>
      <c r="F77" s="9" t="inlineStr">
        <is>
          <t>一般管理費</t>
        </is>
      </c>
      <c r="G77" s="9" t="inlineStr">
        <is>
          <t>Professional Fees</t>
        </is>
      </c>
      <c r="H77" s="9" t="inlineStr">
        <is>
          <t>Dr</t>
        </is>
      </c>
      <c r="I77" s="9" t="n">
        <v>1</v>
      </c>
      <c r="J77" s="9" t="inlineStr">
        <is>
          <t>PL</t>
        </is>
      </c>
      <c r="K77" s="9" t="inlineStr">
        <is>
          <t>Operating</t>
        </is>
      </c>
      <c r="L77" s="9" t="inlineStr">
        <is>
          <t>SG&amp;A</t>
        </is>
      </c>
      <c r="M77" s="10" t="n">
        <v>0</v>
      </c>
      <c r="N77" s="9" t="inlineStr"/>
    </row>
    <row r="78" ht="18" customHeight="1">
      <c r="A78" s="9" t="inlineStr">
        <is>
          <t>6250</t>
        </is>
      </c>
      <c r="B78" s="9" t="inlineStr">
        <is>
          <t>貸倒損失</t>
        </is>
      </c>
      <c r="C78" s="9" t="inlineStr">
        <is>
          <t>Bad Debt Expense</t>
        </is>
      </c>
      <c r="D78" s="9" t="inlineStr">
        <is>
          <t>PL</t>
        </is>
      </c>
      <c r="E78" s="9" t="inlineStr">
        <is>
          <t>販管費</t>
        </is>
      </c>
      <c r="F78" s="9" t="inlineStr">
        <is>
          <t>一般管理費</t>
        </is>
      </c>
      <c r="G78" s="9" t="inlineStr">
        <is>
          <t>Bad Debt Expense</t>
        </is>
      </c>
      <c r="H78" s="9" t="inlineStr">
        <is>
          <t>Dr</t>
        </is>
      </c>
      <c r="I78" s="9" t="n">
        <v>1</v>
      </c>
      <c r="J78" s="9" t="inlineStr">
        <is>
          <t>PL</t>
        </is>
      </c>
      <c r="K78" s="9" t="inlineStr">
        <is>
          <t>Operating</t>
        </is>
      </c>
      <c r="L78" s="9" t="inlineStr">
        <is>
          <t>SG&amp;A</t>
        </is>
      </c>
      <c r="M78" s="10" t="n">
        <v>0</v>
      </c>
      <c r="N78" s="9" t="inlineStr"/>
    </row>
    <row r="79" ht="18" customHeight="1">
      <c r="A79" s="9" t="inlineStr">
        <is>
          <t>6260</t>
        </is>
      </c>
      <c r="B79" s="9" t="inlineStr">
        <is>
          <t>租税公課</t>
        </is>
      </c>
      <c r="C79" s="9" t="inlineStr">
        <is>
          <t>Taxes and Dues</t>
        </is>
      </c>
      <c r="D79" s="9" t="inlineStr">
        <is>
          <t>PL</t>
        </is>
      </c>
      <c r="E79" s="9" t="inlineStr">
        <is>
          <t>販管費</t>
        </is>
      </c>
      <c r="F79" s="9" t="inlineStr">
        <is>
          <t>一般管理費</t>
        </is>
      </c>
      <c r="G79" s="9" t="inlineStr">
        <is>
          <t>Taxes and Dues</t>
        </is>
      </c>
      <c r="H79" s="9" t="inlineStr">
        <is>
          <t>Dr</t>
        </is>
      </c>
      <c r="I79" s="9" t="n">
        <v>1</v>
      </c>
      <c r="J79" s="9" t="inlineStr">
        <is>
          <t>PL</t>
        </is>
      </c>
      <c r="K79" s="9" t="inlineStr">
        <is>
          <t>Operating</t>
        </is>
      </c>
      <c r="L79" s="9" t="inlineStr">
        <is>
          <t>SG&amp;A</t>
        </is>
      </c>
      <c r="M79" s="10" t="n">
        <v>0</v>
      </c>
      <c r="N79" s="9" t="inlineStr"/>
    </row>
    <row r="80" ht="18" customHeight="1">
      <c r="A80" s="9" t="inlineStr">
        <is>
          <t>6270</t>
        </is>
      </c>
      <c r="B80" s="9" t="inlineStr">
        <is>
          <t>損害保険料</t>
        </is>
      </c>
      <c r="C80" s="9" t="inlineStr">
        <is>
          <t>Insurance Expense</t>
        </is>
      </c>
      <c r="D80" s="9" t="inlineStr">
        <is>
          <t>PL</t>
        </is>
      </c>
      <c r="E80" s="9" t="inlineStr">
        <is>
          <t>販管費</t>
        </is>
      </c>
      <c r="F80" s="9" t="inlineStr">
        <is>
          <t>一般管理費</t>
        </is>
      </c>
      <c r="G80" s="9" t="inlineStr">
        <is>
          <t>Insurance Expense</t>
        </is>
      </c>
      <c r="H80" s="9" t="inlineStr">
        <is>
          <t>Dr</t>
        </is>
      </c>
      <c r="I80" s="9" t="n">
        <v>1</v>
      </c>
      <c r="J80" s="9" t="inlineStr">
        <is>
          <t>PL</t>
        </is>
      </c>
      <c r="K80" s="9" t="inlineStr">
        <is>
          <t>Operating</t>
        </is>
      </c>
      <c r="L80" s="9" t="inlineStr">
        <is>
          <t>SG&amp;A</t>
        </is>
      </c>
      <c r="M80" s="10" t="n">
        <v>0</v>
      </c>
      <c r="N80" s="9" t="inlineStr"/>
    </row>
    <row r="81" ht="18" customHeight="1">
      <c r="A81" s="9" t="inlineStr">
        <is>
          <t>6280</t>
        </is>
      </c>
      <c r="B81" s="9" t="inlineStr">
        <is>
          <t>水道光熱費</t>
        </is>
      </c>
      <c r="C81" s="9" t="inlineStr">
        <is>
          <t>Utilities Expense</t>
        </is>
      </c>
      <c r="D81" s="9" t="inlineStr">
        <is>
          <t>PL</t>
        </is>
      </c>
      <c r="E81" s="9" t="inlineStr">
        <is>
          <t>販管費</t>
        </is>
      </c>
      <c r="F81" s="9" t="inlineStr">
        <is>
          <t>一般管理費</t>
        </is>
      </c>
      <c r="G81" s="9" t="inlineStr">
        <is>
          <t>Utilities Expense</t>
        </is>
      </c>
      <c r="H81" s="9" t="inlineStr">
        <is>
          <t>Dr</t>
        </is>
      </c>
      <c r="I81" s="9" t="n">
        <v>1</v>
      </c>
      <c r="J81" s="9" t="inlineStr">
        <is>
          <t>PL</t>
        </is>
      </c>
      <c r="K81" s="9" t="inlineStr">
        <is>
          <t>Operating</t>
        </is>
      </c>
      <c r="L81" s="9" t="inlineStr">
        <is>
          <t>SG&amp;A</t>
        </is>
      </c>
      <c r="M81" s="10" t="n">
        <v>0</v>
      </c>
      <c r="N81" s="9" t="inlineStr"/>
    </row>
    <row r="82" ht="18" customHeight="1">
      <c r="A82" s="9" t="inlineStr">
        <is>
          <t>6290</t>
        </is>
      </c>
      <c r="B82" s="9" t="inlineStr">
        <is>
          <t>研究開発費</t>
        </is>
      </c>
      <c r="C82" s="9" t="inlineStr">
        <is>
          <t>Research and Development Expense</t>
        </is>
      </c>
      <c r="D82" s="9" t="inlineStr">
        <is>
          <t>PL</t>
        </is>
      </c>
      <c r="E82" s="9" t="inlineStr">
        <is>
          <t>販管費</t>
        </is>
      </c>
      <c r="F82" s="9" t="inlineStr">
        <is>
          <t>一般管理費</t>
        </is>
      </c>
      <c r="G82" s="9" t="inlineStr">
        <is>
          <t>Research and Development Expense</t>
        </is>
      </c>
      <c r="H82" s="9" t="inlineStr">
        <is>
          <t>Dr</t>
        </is>
      </c>
      <c r="I82" s="9" t="n">
        <v>1</v>
      </c>
      <c r="J82" s="9" t="inlineStr">
        <is>
          <t>PL</t>
        </is>
      </c>
      <c r="K82" s="9" t="inlineStr">
        <is>
          <t>Operating</t>
        </is>
      </c>
      <c r="L82" s="9" t="inlineStr">
        <is>
          <t>SG&amp;A</t>
        </is>
      </c>
      <c r="M82" s="10" t="n">
        <v>0</v>
      </c>
      <c r="N82" s="9" t="inlineStr"/>
    </row>
    <row r="83" ht="18" customHeight="1">
      <c r="A83" s="9" t="inlineStr">
        <is>
          <t>6298</t>
        </is>
      </c>
      <c r="B83" s="9" t="inlineStr">
        <is>
          <t>雑費</t>
        </is>
      </c>
      <c r="C83" s="9" t="inlineStr">
        <is>
          <t>Miscellaneous SG&amp;A</t>
        </is>
      </c>
      <c r="D83" s="9" t="inlineStr">
        <is>
          <t>PL</t>
        </is>
      </c>
      <c r="E83" s="9" t="inlineStr">
        <is>
          <t>販管費</t>
        </is>
      </c>
      <c r="F83" s="9" t="inlineStr">
        <is>
          <t>一般管理費</t>
        </is>
      </c>
      <c r="G83" s="9" t="inlineStr">
        <is>
          <t>Miscellaneous SG&amp;A</t>
        </is>
      </c>
      <c r="H83" s="9" t="inlineStr">
        <is>
          <t>Dr</t>
        </is>
      </c>
      <c r="I83" s="9" t="n">
        <v>1</v>
      </c>
      <c r="J83" s="9" t="inlineStr">
        <is>
          <t>PL</t>
        </is>
      </c>
      <c r="K83" s="9" t="inlineStr">
        <is>
          <t>Operating</t>
        </is>
      </c>
      <c r="L83" s="9" t="inlineStr">
        <is>
          <t>SG&amp;A</t>
        </is>
      </c>
      <c r="M83" s="10" t="n">
        <v>0</v>
      </c>
      <c r="N83" s="9" t="inlineStr"/>
    </row>
    <row r="84" ht="18" customHeight="1">
      <c r="A84" s="9" t="inlineStr">
        <is>
          <t>7110</t>
        </is>
      </c>
      <c r="B84" s="9" t="inlineStr">
        <is>
          <t>受取利息</t>
        </is>
      </c>
      <c r="C84" s="9" t="inlineStr">
        <is>
          <t>Interest Income</t>
        </is>
      </c>
      <c r="D84" s="9" t="inlineStr">
        <is>
          <t>PL</t>
        </is>
      </c>
      <c r="E84" s="9" t="inlineStr">
        <is>
          <t>営業外収益</t>
        </is>
      </c>
      <c r="F84" s="9" t="inlineStr">
        <is>
          <t>営業外収益</t>
        </is>
      </c>
      <c r="G84" s="9" t="inlineStr">
        <is>
          <t>Interest Income</t>
        </is>
      </c>
      <c r="H84" s="9" t="inlineStr">
        <is>
          <t>Cr</t>
        </is>
      </c>
      <c r="I84" s="9" t="n">
        <v>1</v>
      </c>
      <c r="J84" s="9" t="inlineStr">
        <is>
          <t>PL</t>
        </is>
      </c>
      <c r="K84" s="9" t="inlineStr">
        <is>
          <t>Operating</t>
        </is>
      </c>
      <c r="L84" s="9" t="inlineStr">
        <is>
          <t>Non-Op Income</t>
        </is>
      </c>
      <c r="M84" s="10" t="n">
        <v>0</v>
      </c>
      <c r="N84" s="9" t="inlineStr"/>
    </row>
    <row r="85" ht="18" customHeight="1">
      <c r="A85" s="9" t="inlineStr">
        <is>
          <t>7120</t>
        </is>
      </c>
      <c r="B85" s="9" t="inlineStr">
        <is>
          <t>受取配当金</t>
        </is>
      </c>
      <c r="C85" s="9" t="inlineStr">
        <is>
          <t>Dividend Income</t>
        </is>
      </c>
      <c r="D85" s="9" t="inlineStr">
        <is>
          <t>PL</t>
        </is>
      </c>
      <c r="E85" s="9" t="inlineStr">
        <is>
          <t>営業外収益</t>
        </is>
      </c>
      <c r="F85" s="9" t="inlineStr">
        <is>
          <t>営業外収益</t>
        </is>
      </c>
      <c r="G85" s="9" t="inlineStr">
        <is>
          <t>Dividend Income</t>
        </is>
      </c>
      <c r="H85" s="9" t="inlineStr">
        <is>
          <t>Cr</t>
        </is>
      </c>
      <c r="I85" s="9" t="n">
        <v>1</v>
      </c>
      <c r="J85" s="9" t="inlineStr">
        <is>
          <t>PL</t>
        </is>
      </c>
      <c r="K85" s="9" t="inlineStr">
        <is>
          <t>Operating</t>
        </is>
      </c>
      <c r="L85" s="9" t="inlineStr">
        <is>
          <t>Non-Op Income</t>
        </is>
      </c>
      <c r="M85" s="10" t="n">
        <v>0</v>
      </c>
      <c r="N85" s="9" t="inlineStr"/>
    </row>
    <row r="86" ht="18" customHeight="1">
      <c r="A86" s="9" t="inlineStr">
        <is>
          <t>7130</t>
        </is>
      </c>
      <c r="B86" s="9" t="inlineStr">
        <is>
          <t>受取賃貸料</t>
        </is>
      </c>
      <c r="C86" s="9" t="inlineStr">
        <is>
          <t>Rent Income</t>
        </is>
      </c>
      <c r="D86" s="9" t="inlineStr">
        <is>
          <t>PL</t>
        </is>
      </c>
      <c r="E86" s="9" t="inlineStr">
        <is>
          <t>営業外収益</t>
        </is>
      </c>
      <c r="F86" s="9" t="inlineStr">
        <is>
          <t>営業外収益</t>
        </is>
      </c>
      <c r="G86" s="9" t="inlineStr">
        <is>
          <t>Rent Income</t>
        </is>
      </c>
      <c r="H86" s="9" t="inlineStr">
        <is>
          <t>Cr</t>
        </is>
      </c>
      <c r="I86" s="9" t="n">
        <v>1</v>
      </c>
      <c r="J86" s="9" t="inlineStr">
        <is>
          <t>PL</t>
        </is>
      </c>
      <c r="K86" s="9" t="inlineStr">
        <is>
          <t>Operating</t>
        </is>
      </c>
      <c r="L86" s="9" t="inlineStr">
        <is>
          <t>Non-Op Income</t>
        </is>
      </c>
      <c r="M86" s="10" t="n">
        <v>0</v>
      </c>
      <c r="N86" s="9" t="inlineStr"/>
    </row>
    <row r="87" ht="18" customHeight="1">
      <c r="A87" s="9" t="inlineStr">
        <is>
          <t>7140</t>
        </is>
      </c>
      <c r="B87" s="9" t="inlineStr">
        <is>
          <t>補助金収入</t>
        </is>
      </c>
      <c r="C87" s="9" t="inlineStr">
        <is>
          <t>Subsidy Income</t>
        </is>
      </c>
      <c r="D87" s="9" t="inlineStr">
        <is>
          <t>PL</t>
        </is>
      </c>
      <c r="E87" s="9" t="inlineStr">
        <is>
          <t>営業外収益</t>
        </is>
      </c>
      <c r="F87" s="9" t="inlineStr">
        <is>
          <t>営業外収益</t>
        </is>
      </c>
      <c r="G87" s="9" t="inlineStr">
        <is>
          <t>Subsidy Income</t>
        </is>
      </c>
      <c r="H87" s="9" t="inlineStr">
        <is>
          <t>Cr</t>
        </is>
      </c>
      <c r="I87" s="9" t="n">
        <v>1</v>
      </c>
      <c r="J87" s="9" t="inlineStr">
        <is>
          <t>PL</t>
        </is>
      </c>
      <c r="K87" s="9" t="inlineStr">
        <is>
          <t>Operating</t>
        </is>
      </c>
      <c r="L87" s="9" t="inlineStr">
        <is>
          <t>Non-Op Income</t>
        </is>
      </c>
      <c r="M87" s="10" t="n">
        <v>0</v>
      </c>
      <c r="N87" s="9" t="inlineStr"/>
    </row>
    <row r="88" ht="18" customHeight="1">
      <c r="A88" s="9" t="inlineStr">
        <is>
          <t>7150</t>
        </is>
      </c>
      <c r="B88" s="9" t="inlineStr">
        <is>
          <t>為替差益</t>
        </is>
      </c>
      <c r="C88" s="9" t="inlineStr">
        <is>
          <t>Foreign Exchange Gain</t>
        </is>
      </c>
      <c r="D88" s="9" t="inlineStr">
        <is>
          <t>PL</t>
        </is>
      </c>
      <c r="E88" s="9" t="inlineStr">
        <is>
          <t>営業外収益</t>
        </is>
      </c>
      <c r="F88" s="9" t="inlineStr">
        <is>
          <t>営業外収益</t>
        </is>
      </c>
      <c r="G88" s="9" t="inlineStr">
        <is>
          <t>Foreign Exchange Gain</t>
        </is>
      </c>
      <c r="H88" s="9" t="inlineStr">
        <is>
          <t>Cr</t>
        </is>
      </c>
      <c r="I88" s="9" t="n">
        <v>1</v>
      </c>
      <c r="J88" s="9" t="inlineStr">
        <is>
          <t>PL</t>
        </is>
      </c>
      <c r="K88" s="9" t="inlineStr">
        <is>
          <t>Operating</t>
        </is>
      </c>
      <c r="L88" s="9" t="inlineStr">
        <is>
          <t>Non-Op Income</t>
        </is>
      </c>
      <c r="M88" s="10" t="n">
        <v>0</v>
      </c>
      <c r="N88" s="9" t="inlineStr"/>
    </row>
    <row r="89" ht="18" customHeight="1">
      <c r="A89" s="9" t="inlineStr">
        <is>
          <t>7198</t>
        </is>
      </c>
      <c r="B89" s="9" t="inlineStr">
        <is>
          <t>雑収入</t>
        </is>
      </c>
      <c r="C89" s="9" t="inlineStr">
        <is>
          <t>Miscellaneous Non-operating Income</t>
        </is>
      </c>
      <c r="D89" s="9" t="inlineStr">
        <is>
          <t>PL</t>
        </is>
      </c>
      <c r="E89" s="9" t="inlineStr">
        <is>
          <t>営業外収益</t>
        </is>
      </c>
      <c r="F89" s="9" t="inlineStr">
        <is>
          <t>営業外収益</t>
        </is>
      </c>
      <c r="G89" s="9" t="inlineStr">
        <is>
          <t>Miscellaneous Non-operating Income</t>
        </is>
      </c>
      <c r="H89" s="9" t="inlineStr">
        <is>
          <t>Cr</t>
        </is>
      </c>
      <c r="I89" s="9" t="n">
        <v>1</v>
      </c>
      <c r="J89" s="9" t="inlineStr">
        <is>
          <t>PL</t>
        </is>
      </c>
      <c r="K89" s="9" t="inlineStr">
        <is>
          <t>Operating</t>
        </is>
      </c>
      <c r="L89" s="9" t="inlineStr">
        <is>
          <t>Non-Op Income</t>
        </is>
      </c>
      <c r="M89" s="10" t="n">
        <v>0</v>
      </c>
      <c r="N89" s="9" t="inlineStr"/>
    </row>
    <row r="90" ht="18" customHeight="1">
      <c r="A90" s="9" t="inlineStr">
        <is>
          <t>7210</t>
        </is>
      </c>
      <c r="B90" s="9" t="inlineStr">
        <is>
          <t>支払利息</t>
        </is>
      </c>
      <c r="C90" s="9" t="inlineStr">
        <is>
          <t>Interest Expense</t>
        </is>
      </c>
      <c r="D90" s="9" t="inlineStr">
        <is>
          <t>PL</t>
        </is>
      </c>
      <c r="E90" s="9" t="inlineStr">
        <is>
          <t>営業外費用</t>
        </is>
      </c>
      <c r="F90" s="9" t="inlineStr">
        <is>
          <t>営業外費用</t>
        </is>
      </c>
      <c r="G90" s="9" t="inlineStr">
        <is>
          <t>Interest Expense</t>
        </is>
      </c>
      <c r="H90" s="9" t="inlineStr">
        <is>
          <t>Dr</t>
        </is>
      </c>
      <c r="I90" s="9" t="n">
        <v>1</v>
      </c>
      <c r="J90" s="9" t="inlineStr">
        <is>
          <t>PL</t>
        </is>
      </c>
      <c r="K90" s="9" t="inlineStr">
        <is>
          <t>Operating</t>
        </is>
      </c>
      <c r="L90" s="9" t="inlineStr">
        <is>
          <t>Non-Op Expense</t>
        </is>
      </c>
      <c r="M90" s="10" t="n">
        <v>0</v>
      </c>
      <c r="N90" s="9" t="inlineStr"/>
    </row>
    <row r="91" ht="18" customHeight="1">
      <c r="A91" s="9" t="inlineStr">
        <is>
          <t>7220</t>
        </is>
      </c>
      <c r="B91" s="9" t="inlineStr">
        <is>
          <t>為替差損</t>
        </is>
      </c>
      <c r="C91" s="9" t="inlineStr">
        <is>
          <t>Foreign Exchange Loss</t>
        </is>
      </c>
      <c r="D91" s="9" t="inlineStr">
        <is>
          <t>PL</t>
        </is>
      </c>
      <c r="E91" s="9" t="inlineStr">
        <is>
          <t>営業外費用</t>
        </is>
      </c>
      <c r="F91" s="9" t="inlineStr">
        <is>
          <t>営業外費用</t>
        </is>
      </c>
      <c r="G91" s="9" t="inlineStr">
        <is>
          <t>Foreign Exchange Loss</t>
        </is>
      </c>
      <c r="H91" s="9" t="inlineStr">
        <is>
          <t>Dr</t>
        </is>
      </c>
      <c r="I91" s="9" t="n">
        <v>1</v>
      </c>
      <c r="J91" s="9" t="inlineStr">
        <is>
          <t>PL</t>
        </is>
      </c>
      <c r="K91" s="9" t="inlineStr">
        <is>
          <t>Operating</t>
        </is>
      </c>
      <c r="L91" s="9" t="inlineStr">
        <is>
          <t>Non-Op Expense</t>
        </is>
      </c>
      <c r="M91" s="10" t="n">
        <v>0</v>
      </c>
      <c r="N91" s="9" t="inlineStr"/>
    </row>
    <row r="92" ht="18" customHeight="1">
      <c r="A92" s="9" t="inlineStr">
        <is>
          <t>7298</t>
        </is>
      </c>
      <c r="B92" s="9" t="inlineStr">
        <is>
          <t>雑損失</t>
        </is>
      </c>
      <c r="C92" s="9" t="inlineStr">
        <is>
          <t>Miscellaneous Non-operating Expense</t>
        </is>
      </c>
      <c r="D92" s="9" t="inlineStr">
        <is>
          <t>PL</t>
        </is>
      </c>
      <c r="E92" s="9" t="inlineStr">
        <is>
          <t>営業外費用</t>
        </is>
      </c>
      <c r="F92" s="9" t="inlineStr">
        <is>
          <t>営業外費用</t>
        </is>
      </c>
      <c r="G92" s="9" t="inlineStr">
        <is>
          <t>Miscellaneous Non-operating Expense</t>
        </is>
      </c>
      <c r="H92" s="9" t="inlineStr">
        <is>
          <t>Dr</t>
        </is>
      </c>
      <c r="I92" s="9" t="n">
        <v>1</v>
      </c>
      <c r="J92" s="9" t="inlineStr">
        <is>
          <t>PL</t>
        </is>
      </c>
      <c r="K92" s="9" t="inlineStr">
        <is>
          <t>Operating</t>
        </is>
      </c>
      <c r="L92" s="9" t="inlineStr">
        <is>
          <t>Non-Op Expense</t>
        </is>
      </c>
      <c r="M92" s="10" t="n">
        <v>0</v>
      </c>
      <c r="N92" s="9" t="inlineStr"/>
    </row>
    <row r="93" ht="18" customHeight="1">
      <c r="A93" s="9" t="inlineStr">
        <is>
          <t>8110</t>
        </is>
      </c>
      <c r="B93" s="9" t="inlineStr">
        <is>
          <t>固定資産売却益</t>
        </is>
      </c>
      <c r="C93" s="9" t="inlineStr">
        <is>
          <t>Gain on Sale of Fixed Assets</t>
        </is>
      </c>
      <c r="D93" s="9" t="inlineStr">
        <is>
          <t>PL</t>
        </is>
      </c>
      <c r="E93" s="9" t="inlineStr">
        <is>
          <t>特別利益</t>
        </is>
      </c>
      <c r="F93" s="9" t="inlineStr">
        <is>
          <t>特別利益</t>
        </is>
      </c>
      <c r="G93" s="9" t="inlineStr">
        <is>
          <t>Gain on Sale of Fixed Assets</t>
        </is>
      </c>
      <c r="H93" s="9" t="inlineStr">
        <is>
          <t>Cr</t>
        </is>
      </c>
      <c r="I93" s="9" t="n">
        <v>1</v>
      </c>
      <c r="J93" s="9" t="inlineStr">
        <is>
          <t>PL</t>
        </is>
      </c>
      <c r="K93" s="9" t="inlineStr">
        <is>
          <t>Investing</t>
        </is>
      </c>
      <c r="L93" s="9" t="inlineStr">
        <is>
          <t>Extraordinary Gain</t>
        </is>
      </c>
      <c r="M93" s="10" t="n">
        <v>0</v>
      </c>
      <c r="N93" s="9" t="inlineStr"/>
    </row>
    <row r="94" ht="18" customHeight="1">
      <c r="A94" s="9" t="inlineStr">
        <is>
          <t>8120</t>
        </is>
      </c>
      <c r="B94" s="9" t="inlineStr">
        <is>
          <t>投資有価証券売却益</t>
        </is>
      </c>
      <c r="C94" s="9" t="inlineStr">
        <is>
          <t>Gain on Sale of Investment Securities</t>
        </is>
      </c>
      <c r="D94" s="9" t="inlineStr">
        <is>
          <t>PL</t>
        </is>
      </c>
      <c r="E94" s="9" t="inlineStr">
        <is>
          <t>特別利益</t>
        </is>
      </c>
      <c r="F94" s="9" t="inlineStr">
        <is>
          <t>特別利益</t>
        </is>
      </c>
      <c r="G94" s="9" t="inlineStr">
        <is>
          <t>Gain on Sale of Investment Securities</t>
        </is>
      </c>
      <c r="H94" s="9" t="inlineStr">
        <is>
          <t>Cr</t>
        </is>
      </c>
      <c r="I94" s="9" t="n">
        <v>1</v>
      </c>
      <c r="J94" s="9" t="inlineStr">
        <is>
          <t>PL</t>
        </is>
      </c>
      <c r="K94" s="9" t="inlineStr">
        <is>
          <t>Investing</t>
        </is>
      </c>
      <c r="L94" s="9" t="inlineStr">
        <is>
          <t>Extraordinary Gain</t>
        </is>
      </c>
      <c r="M94" s="10" t="n">
        <v>0</v>
      </c>
      <c r="N94" s="9" t="inlineStr"/>
    </row>
    <row r="95" ht="18" customHeight="1">
      <c r="A95" s="9" t="inlineStr">
        <is>
          <t>8198</t>
        </is>
      </c>
      <c r="B95" s="9" t="inlineStr">
        <is>
          <t>その他特別利益</t>
        </is>
      </c>
      <c r="C95" s="9" t="inlineStr">
        <is>
          <t>Other Extraordinary Gains</t>
        </is>
      </c>
      <c r="D95" s="9" t="inlineStr">
        <is>
          <t>PL</t>
        </is>
      </c>
      <c r="E95" s="9" t="inlineStr">
        <is>
          <t>特別利益</t>
        </is>
      </c>
      <c r="F95" s="9" t="inlineStr">
        <is>
          <t>特別利益</t>
        </is>
      </c>
      <c r="G95" s="9" t="inlineStr">
        <is>
          <t>Other Extraordinary Gains</t>
        </is>
      </c>
      <c r="H95" s="9" t="inlineStr">
        <is>
          <t>Cr</t>
        </is>
      </c>
      <c r="I95" s="9" t="n">
        <v>1</v>
      </c>
      <c r="J95" s="9" t="inlineStr">
        <is>
          <t>PL</t>
        </is>
      </c>
      <c r="K95" s="9" t="inlineStr">
        <is>
          <t>Operating</t>
        </is>
      </c>
      <c r="L95" s="9" t="inlineStr">
        <is>
          <t>Extraordinary Gain</t>
        </is>
      </c>
      <c r="M95" s="10" t="n">
        <v>0</v>
      </c>
      <c r="N95" s="9" t="inlineStr"/>
    </row>
    <row r="96" ht="18" customHeight="1">
      <c r="A96" s="9" t="inlineStr">
        <is>
          <t>8210</t>
        </is>
      </c>
      <c r="B96" s="9" t="inlineStr">
        <is>
          <t>固定資産除却損</t>
        </is>
      </c>
      <c r="C96" s="9" t="inlineStr">
        <is>
          <t>Loss on Disposal of Fixed Assets</t>
        </is>
      </c>
      <c r="D96" s="9" t="inlineStr">
        <is>
          <t>PL</t>
        </is>
      </c>
      <c r="E96" s="9" t="inlineStr">
        <is>
          <t>特別損失</t>
        </is>
      </c>
      <c r="F96" s="9" t="inlineStr">
        <is>
          <t>特別損失</t>
        </is>
      </c>
      <c r="G96" s="9" t="inlineStr">
        <is>
          <t>Loss on Disposal of Fixed Assets</t>
        </is>
      </c>
      <c r="H96" s="9" t="inlineStr">
        <is>
          <t>Dr</t>
        </is>
      </c>
      <c r="I96" s="9" t="n">
        <v>1</v>
      </c>
      <c r="J96" s="9" t="inlineStr">
        <is>
          <t>PL</t>
        </is>
      </c>
      <c r="K96" s="9" t="inlineStr">
        <is>
          <t>Investing</t>
        </is>
      </c>
      <c r="L96" s="9" t="inlineStr">
        <is>
          <t>Extraordinary Loss</t>
        </is>
      </c>
      <c r="M96" s="10" t="n">
        <v>0</v>
      </c>
      <c r="N96" s="9" t="inlineStr"/>
    </row>
    <row r="97" ht="18" customHeight="1">
      <c r="A97" s="9" t="inlineStr">
        <is>
          <t>8220</t>
        </is>
      </c>
      <c r="B97" s="9" t="inlineStr">
        <is>
          <t>減損損失</t>
        </is>
      </c>
      <c r="C97" s="9" t="inlineStr">
        <is>
          <t>Impairment Loss</t>
        </is>
      </c>
      <c r="D97" s="9" t="inlineStr">
        <is>
          <t>PL</t>
        </is>
      </c>
      <c r="E97" s="9" t="inlineStr">
        <is>
          <t>特別損失</t>
        </is>
      </c>
      <c r="F97" s="9" t="inlineStr">
        <is>
          <t>特別損失</t>
        </is>
      </c>
      <c r="G97" s="9" t="inlineStr">
        <is>
          <t>Impairment Loss</t>
        </is>
      </c>
      <c r="H97" s="9" t="inlineStr">
        <is>
          <t>Dr</t>
        </is>
      </c>
      <c r="I97" s="9" t="n">
        <v>1</v>
      </c>
      <c r="J97" s="9" t="inlineStr">
        <is>
          <t>PL</t>
        </is>
      </c>
      <c r="K97" s="9" t="inlineStr">
        <is>
          <t>Investing</t>
        </is>
      </c>
      <c r="L97" s="9" t="inlineStr">
        <is>
          <t>Extraordinary Loss</t>
        </is>
      </c>
      <c r="M97" s="10" t="n">
        <v>0</v>
      </c>
      <c r="N97" s="9" t="inlineStr"/>
    </row>
    <row r="98" ht="18" customHeight="1">
      <c r="A98" s="9" t="inlineStr">
        <is>
          <t>8298</t>
        </is>
      </c>
      <c r="B98" s="9" t="inlineStr">
        <is>
          <t>その他特別損失</t>
        </is>
      </c>
      <c r="C98" s="9" t="inlineStr">
        <is>
          <t>Other Extraordinary Losses</t>
        </is>
      </c>
      <c r="D98" s="9" t="inlineStr">
        <is>
          <t>PL</t>
        </is>
      </c>
      <c r="E98" s="9" t="inlineStr">
        <is>
          <t>特別損失</t>
        </is>
      </c>
      <c r="F98" s="9" t="inlineStr">
        <is>
          <t>特別損失</t>
        </is>
      </c>
      <c r="G98" s="9" t="inlineStr">
        <is>
          <t>Other Extraordinary Losses</t>
        </is>
      </c>
      <c r="H98" s="9" t="inlineStr">
        <is>
          <t>Dr</t>
        </is>
      </c>
      <c r="I98" s="9" t="n">
        <v>1</v>
      </c>
      <c r="J98" s="9" t="inlineStr">
        <is>
          <t>PL</t>
        </is>
      </c>
      <c r="K98" s="9" t="inlineStr">
        <is>
          <t>Operating</t>
        </is>
      </c>
      <c r="L98" s="9" t="inlineStr">
        <is>
          <t>Extraordinary Loss</t>
        </is>
      </c>
      <c r="M98" s="10" t="n">
        <v>0</v>
      </c>
      <c r="N98" s="9" t="inlineStr"/>
    </row>
    <row r="99" ht="18" customHeight="1">
      <c r="A99" s="9" t="inlineStr">
        <is>
          <t>9110</t>
        </is>
      </c>
      <c r="B99" s="9" t="inlineStr">
        <is>
          <t>法人税、住民税及び事業税</t>
        </is>
      </c>
      <c r="C99" s="9" t="inlineStr">
        <is>
          <t>Income Taxes - Current</t>
        </is>
      </c>
      <c r="D99" s="9" t="inlineStr">
        <is>
          <t>PL</t>
        </is>
      </c>
      <c r="E99" s="9" t="inlineStr">
        <is>
          <t>法人税等</t>
        </is>
      </c>
      <c r="F99" s="9" t="inlineStr">
        <is>
          <t>法人税等</t>
        </is>
      </c>
      <c r="G99" s="9" t="inlineStr">
        <is>
          <t>Income Taxes - Current</t>
        </is>
      </c>
      <c r="H99" s="9" t="inlineStr">
        <is>
          <t>Dr</t>
        </is>
      </c>
      <c r="I99" s="9" t="n">
        <v>1</v>
      </c>
      <c r="J99" s="9" t="inlineStr">
        <is>
          <t>PL</t>
        </is>
      </c>
      <c r="K99" s="9" t="inlineStr">
        <is>
          <t>Operating</t>
        </is>
      </c>
      <c r="L99" s="9" t="inlineStr">
        <is>
          <t>Tax</t>
        </is>
      </c>
      <c r="M99" s="10" t="n">
        <v>0</v>
      </c>
      <c r="N99" s="9" t="inlineStr"/>
    </row>
    <row r="100" ht="18" customHeight="1">
      <c r="A100" s="9" t="inlineStr">
        <is>
          <t>9120</t>
        </is>
      </c>
      <c r="B100" s="9" t="inlineStr">
        <is>
          <t>法人税等調整額</t>
        </is>
      </c>
      <c r="C100" s="9" t="inlineStr">
        <is>
          <t>Income Taxes - Deferred</t>
        </is>
      </c>
      <c r="D100" s="9" t="inlineStr">
        <is>
          <t>PL</t>
        </is>
      </c>
      <c r="E100" s="9" t="inlineStr">
        <is>
          <t>法人税等</t>
        </is>
      </c>
      <c r="F100" s="9" t="inlineStr">
        <is>
          <t>法人税等</t>
        </is>
      </c>
      <c r="G100" s="9" t="inlineStr">
        <is>
          <t>Income Taxes - Deferred</t>
        </is>
      </c>
      <c r="H100" s="9" t="inlineStr">
        <is>
          <t>Dr</t>
        </is>
      </c>
      <c r="I100" s="9" t="n">
        <v>1</v>
      </c>
      <c r="J100" s="9" t="inlineStr">
        <is>
          <t>PL</t>
        </is>
      </c>
      <c r="K100" s="9" t="inlineStr">
        <is>
          <t>Operating</t>
        </is>
      </c>
      <c r="L100" s="9" t="inlineStr">
        <is>
          <t>Tax</t>
        </is>
      </c>
      <c r="M100" s="10" t="n">
        <v>0</v>
      </c>
      <c r="N100" s="9" t="inlineStr"/>
    </row>
  </sheetData>
  <mergeCells count="1"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Q18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1" customWidth="1" min="7" max="7"/>
    <col width="18" customWidth="1" min="8" max="8"/>
    <col width="11" customWidth="1" min="9" max="9"/>
    <col width="18" customWidth="1" min="10" max="10"/>
    <col width="14" customWidth="1" min="11" max="11"/>
    <col width="24" customWidth="1" min="12" max="12"/>
    <col width="18" customWidth="1" min="13" max="13"/>
    <col width="12" customWidth="1" min="14" max="14"/>
    <col width="12" customWidth="1" min="15" max="15"/>
    <col width="18" customWidth="1" min="16" max="16"/>
    <col width="10" customWidth="1" min="17" max="17"/>
  </cols>
  <sheetData>
    <row r="1" ht="18" customHeight="1">
      <c r="A1" s="1" t="inlineStr">
        <is>
          <t>仕訳入力（複式簿記）</t>
        </is>
      </c>
    </row>
    <row r="2" ht="18" customHeight="1"/>
    <row r="3" ht="18" customHeight="1">
      <c r="A3" s="11" t="inlineStr">
        <is>
          <t>入力ルール</t>
        </is>
      </c>
      <c r="B3" t="inlineStr">
        <is>
          <t>1行 = 1仕訳（借方1科目 / 貸方1科目）。必要に応じて部門・セグメント・PJを入力。</t>
        </is>
      </c>
    </row>
    <row r="4" ht="18" customHeight="1">
      <c r="A4" s="11" t="inlineStr">
        <is>
          <t>期間区分</t>
        </is>
      </c>
      <c r="B4" t="inlineStr">
        <is>
          <t>Prior / Current のみ入力</t>
        </is>
      </c>
    </row>
    <row r="5" ht="18" customHeight="1">
      <c r="A5" s="11" t="inlineStr">
        <is>
          <t>金額</t>
        </is>
      </c>
      <c r="B5" t="inlineStr">
        <is>
          <t>正数のみ入力</t>
        </is>
      </c>
    </row>
    <row r="6" ht="18" customHeight="1"/>
    <row r="7" ht="18" customHeight="1">
      <c r="A7" s="4" t="inlineStr">
        <is>
          <t>Period</t>
        </is>
      </c>
      <c r="B7" s="4" t="inlineStr">
        <is>
          <t>Date</t>
        </is>
      </c>
      <c r="C7" s="4" t="inlineStr">
        <is>
          <t>Voucher No</t>
        </is>
      </c>
      <c r="D7" s="4" t="inlineStr">
        <is>
          <t>Department</t>
        </is>
      </c>
      <c r="E7" s="4" t="inlineStr">
        <is>
          <t>Segment</t>
        </is>
      </c>
      <c r="F7" s="4" t="inlineStr">
        <is>
          <t>Project</t>
        </is>
      </c>
      <c r="G7" s="4" t="inlineStr">
        <is>
          <t>Debit Code</t>
        </is>
      </c>
      <c r="H7" s="4" t="inlineStr">
        <is>
          <t>Debit Name</t>
        </is>
      </c>
      <c r="I7" s="4" t="inlineStr">
        <is>
          <t>Credit Code</t>
        </is>
      </c>
      <c r="J7" s="4" t="inlineStr">
        <is>
          <t>Credit Name</t>
        </is>
      </c>
      <c r="K7" s="4" t="inlineStr">
        <is>
          <t>Amount</t>
        </is>
      </c>
      <c r="L7" s="4" t="inlineStr">
        <is>
          <t>Description</t>
        </is>
      </c>
      <c r="M7" s="4" t="inlineStr">
        <is>
          <t>Counterparty</t>
        </is>
      </c>
      <c r="N7" s="4" t="inlineStr">
        <is>
          <t>Tax Code</t>
        </is>
      </c>
      <c r="O7" s="4" t="inlineStr">
        <is>
          <t>Invoice Flag</t>
        </is>
      </c>
      <c r="P7" s="4" t="inlineStr">
        <is>
          <t>Notes</t>
        </is>
      </c>
      <c r="Q7" s="4" t="inlineStr">
        <is>
          <t>Check</t>
        </is>
      </c>
    </row>
    <row r="8" ht="18" customHeight="1">
      <c r="A8" s="12" t="inlineStr">
        <is>
          <t>Prior</t>
        </is>
      </c>
      <c r="B8" s="13" t="inlineStr">
        <is>
          <t>2025/01/15</t>
        </is>
      </c>
      <c r="C8" s="12" t="inlineStr">
        <is>
          <t>JV-25001</t>
        </is>
      </c>
      <c r="D8" s="12" t="inlineStr">
        <is>
          <t>営業部</t>
        </is>
      </c>
      <c r="E8" s="12" t="inlineStr">
        <is>
          <t>製品A</t>
        </is>
      </c>
      <c r="F8" s="12" t="inlineStr">
        <is>
          <t>PJ-A</t>
        </is>
      </c>
      <c r="G8" s="12" t="inlineStr">
        <is>
          <t>1120</t>
        </is>
      </c>
      <c r="H8" s="12" t="inlineStr">
        <is>
          <t>売掛金</t>
        </is>
      </c>
      <c r="I8" s="12" t="inlineStr">
        <is>
          <t>4110</t>
        </is>
      </c>
      <c r="J8" s="12" t="inlineStr">
        <is>
          <t>売上高</t>
        </is>
      </c>
      <c r="K8" s="14" t="n">
        <v>30000000</v>
      </c>
      <c r="L8" s="12" t="inlineStr">
        <is>
          <t>掛売上</t>
        </is>
      </c>
      <c r="M8" s="12" t="inlineStr">
        <is>
          <t>得意先A</t>
        </is>
      </c>
      <c r="N8" s="12" t="inlineStr">
        <is>
          <t>課税10%</t>
        </is>
      </c>
      <c r="O8" s="12" t="inlineStr">
        <is>
          <t>適格</t>
        </is>
      </c>
      <c r="P8" s="12" t="inlineStr"/>
      <c r="Q8" s="15">
        <f>IF(AND(A8&lt;&gt;"",G8&lt;&gt;"",I8&lt;&gt;"",K8&gt;0),"OK","")</f>
        <v/>
      </c>
    </row>
    <row r="9" ht="18" customHeight="1">
      <c r="A9" s="12" t="inlineStr">
        <is>
          <t>Prior</t>
        </is>
      </c>
      <c r="B9" s="13" t="inlineStr">
        <is>
          <t>2025/01/18</t>
        </is>
      </c>
      <c r="C9" s="12" t="inlineStr">
        <is>
          <t>JV-25002</t>
        </is>
      </c>
      <c r="D9" s="12" t="inlineStr">
        <is>
          <t>営業部</t>
        </is>
      </c>
      <c r="E9" s="12" t="inlineStr">
        <is>
          <t>製品A</t>
        </is>
      </c>
      <c r="F9" s="12" t="inlineStr">
        <is>
          <t>PJ-A</t>
        </is>
      </c>
      <c r="G9" s="12" t="inlineStr">
        <is>
          <t>1110</t>
        </is>
      </c>
      <c r="H9" s="12" t="inlineStr">
        <is>
          <t>現金及び預金</t>
        </is>
      </c>
      <c r="I9" s="12" t="inlineStr">
        <is>
          <t>4110</t>
        </is>
      </c>
      <c r="J9" s="12" t="inlineStr">
        <is>
          <t>売上高</t>
        </is>
      </c>
      <c r="K9" s="14" t="n">
        <v>12000000</v>
      </c>
      <c r="L9" s="12" t="inlineStr">
        <is>
          <t>現金売上</t>
        </is>
      </c>
      <c r="M9" s="12" t="inlineStr">
        <is>
          <t>店舗売上</t>
        </is>
      </c>
      <c r="N9" s="12" t="inlineStr">
        <is>
          <t>課税10%</t>
        </is>
      </c>
      <c r="O9" s="12" t="inlineStr">
        <is>
          <t>帳簿保存</t>
        </is>
      </c>
      <c r="P9" s="12" t="inlineStr"/>
      <c r="Q9" s="15">
        <f>IF(AND(A9&lt;&gt;"",G9&lt;&gt;"",I9&lt;&gt;"",K9&gt;0),"OK","")</f>
        <v/>
      </c>
    </row>
    <row r="10" ht="18" customHeight="1">
      <c r="A10" s="12" t="inlineStr">
        <is>
          <t>Prior</t>
        </is>
      </c>
      <c r="B10" s="13" t="inlineStr">
        <is>
          <t>2025/01/25</t>
        </is>
      </c>
      <c r="C10" s="12" t="inlineStr">
        <is>
          <t>JV-25003</t>
        </is>
      </c>
      <c r="D10" s="12" t="inlineStr">
        <is>
          <t>営業部</t>
        </is>
      </c>
      <c r="E10" s="12" t="inlineStr">
        <is>
          <t>製品A</t>
        </is>
      </c>
      <c r="F10" s="12" t="inlineStr">
        <is>
          <t>PJ-A</t>
        </is>
      </c>
      <c r="G10" s="12" t="inlineStr">
        <is>
          <t>1110</t>
        </is>
      </c>
      <c r="H10" s="12" t="inlineStr">
        <is>
          <t>現金及び預金</t>
        </is>
      </c>
      <c r="I10" s="12" t="inlineStr">
        <is>
          <t>1120</t>
        </is>
      </c>
      <c r="J10" s="12" t="inlineStr">
        <is>
          <t>売掛金</t>
        </is>
      </c>
      <c r="K10" s="14" t="n">
        <v>25000000</v>
      </c>
      <c r="L10" s="12" t="inlineStr">
        <is>
          <t>売掛回収</t>
        </is>
      </c>
      <c r="M10" s="12" t="inlineStr">
        <is>
          <t>得意先A</t>
        </is>
      </c>
      <c r="N10" s="12" t="inlineStr">
        <is>
          <t>対象外</t>
        </is>
      </c>
      <c r="O10" s="12" t="inlineStr">
        <is>
          <t>-</t>
        </is>
      </c>
      <c r="P10" s="12" t="inlineStr"/>
      <c r="Q10" s="15">
        <f>IF(AND(A10&lt;&gt;"",G10&lt;&gt;"",I10&lt;&gt;"",K10&gt;0),"OK","")</f>
        <v/>
      </c>
    </row>
    <row r="11" ht="18" customHeight="1">
      <c r="A11" s="12" t="inlineStr">
        <is>
          <t>Prior</t>
        </is>
      </c>
      <c r="B11" s="13" t="inlineStr">
        <is>
          <t>2025/02/05</t>
        </is>
      </c>
      <c r="C11" s="12" t="inlineStr">
        <is>
          <t>JV-25004</t>
        </is>
      </c>
      <c r="D11" s="12" t="inlineStr">
        <is>
          <t>購買部</t>
        </is>
      </c>
      <c r="E11" s="12" t="inlineStr">
        <is>
          <t>製品A</t>
        </is>
      </c>
      <c r="F11" s="12" t="inlineStr">
        <is>
          <t>PJ-A</t>
        </is>
      </c>
      <c r="G11" s="12" t="inlineStr">
        <is>
          <t>5110</t>
        </is>
      </c>
      <c r="H11" s="12" t="inlineStr">
        <is>
          <t>売上原価</t>
        </is>
      </c>
      <c r="I11" s="12" t="inlineStr">
        <is>
          <t>2110</t>
        </is>
      </c>
      <c r="J11" s="12" t="inlineStr">
        <is>
          <t>買掛金</t>
        </is>
      </c>
      <c r="K11" s="14" t="n">
        <v>18000000</v>
      </c>
      <c r="L11" s="12" t="inlineStr">
        <is>
          <t>仕入計上</t>
        </is>
      </c>
      <c r="M11" s="12" t="inlineStr">
        <is>
          <t>仕入先A</t>
        </is>
      </c>
      <c r="N11" s="12" t="inlineStr">
        <is>
          <t>課税10%</t>
        </is>
      </c>
      <c r="O11" s="12" t="inlineStr">
        <is>
          <t>適格</t>
        </is>
      </c>
      <c r="P11" s="12" t="inlineStr"/>
      <c r="Q11" s="15">
        <f>IF(AND(A11&lt;&gt;"",G11&lt;&gt;"",I11&lt;&gt;"",K11&gt;0),"OK","")</f>
        <v/>
      </c>
    </row>
    <row r="12" ht="18" customHeight="1">
      <c r="A12" s="12" t="inlineStr">
        <is>
          <t>Prior</t>
        </is>
      </c>
      <c r="B12" s="13" t="inlineStr">
        <is>
          <t>2025/02/20</t>
        </is>
      </c>
      <c r="C12" s="12" t="inlineStr">
        <is>
          <t>JV-25005</t>
        </is>
      </c>
      <c r="D12" s="12" t="inlineStr">
        <is>
          <t>購買部</t>
        </is>
      </c>
      <c r="E12" s="12" t="inlineStr">
        <is>
          <t>製品A</t>
        </is>
      </c>
      <c r="F12" s="12" t="inlineStr">
        <is>
          <t>PJ-A</t>
        </is>
      </c>
      <c r="G12" s="12" t="inlineStr">
        <is>
          <t>2110</t>
        </is>
      </c>
      <c r="H12" s="12" t="inlineStr">
        <is>
          <t>買掛金</t>
        </is>
      </c>
      <c r="I12" s="12" t="inlineStr">
        <is>
          <t>1110</t>
        </is>
      </c>
      <c r="J12" s="12" t="inlineStr">
        <is>
          <t>現金及び預金</t>
        </is>
      </c>
      <c r="K12" s="14" t="n">
        <v>15000000</v>
      </c>
      <c r="L12" s="12" t="inlineStr">
        <is>
          <t>買掛支払</t>
        </is>
      </c>
      <c r="M12" s="12" t="inlineStr">
        <is>
          <t>仕入先A</t>
        </is>
      </c>
      <c r="N12" s="12" t="inlineStr">
        <is>
          <t>対象外</t>
        </is>
      </c>
      <c r="O12" s="12" t="inlineStr">
        <is>
          <t>-</t>
        </is>
      </c>
      <c r="P12" s="12" t="inlineStr"/>
      <c r="Q12" s="15">
        <f>IF(AND(A12&lt;&gt;"",G12&lt;&gt;"",I12&lt;&gt;"",K12&gt;0),"OK","")</f>
        <v/>
      </c>
    </row>
    <row r="13" ht="18" customHeight="1">
      <c r="A13" s="12" t="inlineStr">
        <is>
          <t>Prior</t>
        </is>
      </c>
      <c r="B13" s="13" t="inlineStr">
        <is>
          <t>2025/03/25</t>
        </is>
      </c>
      <c r="C13" s="12" t="inlineStr">
        <is>
          <t>JV-25006</t>
        </is>
      </c>
      <c r="D13" s="12" t="inlineStr">
        <is>
          <t>管理部</t>
        </is>
      </c>
      <c r="E13" s="12" t="inlineStr">
        <is>
          <t>共通</t>
        </is>
      </c>
      <c r="F13" s="12" t="inlineStr">
        <is>
          <t>ADM</t>
        </is>
      </c>
      <c r="G13" s="12" t="inlineStr">
        <is>
          <t>6120</t>
        </is>
      </c>
      <c r="H13" s="12" t="inlineStr">
        <is>
          <t>給料手当</t>
        </is>
      </c>
      <c r="I13" s="12" t="inlineStr">
        <is>
          <t>1110</t>
        </is>
      </c>
      <c r="J13" s="12" t="inlineStr">
        <is>
          <t>現金及び預金</t>
        </is>
      </c>
      <c r="K13" s="14" t="n">
        <v>6000000</v>
      </c>
      <c r="L13" s="12" t="inlineStr">
        <is>
          <t>給与支払</t>
        </is>
      </c>
      <c r="M13" s="12" t="inlineStr">
        <is>
          <t>従業員</t>
        </is>
      </c>
      <c r="N13" s="12" t="inlineStr">
        <is>
          <t>対象外</t>
        </is>
      </c>
      <c r="O13" s="12" t="inlineStr">
        <is>
          <t>-</t>
        </is>
      </c>
      <c r="P13" s="12" t="inlineStr"/>
      <c r="Q13" s="15">
        <f>IF(AND(A13&lt;&gt;"",G13&lt;&gt;"",I13&lt;&gt;"",K13&gt;0),"OK","")</f>
        <v/>
      </c>
    </row>
    <row r="14" ht="18" customHeight="1">
      <c r="A14" s="12" t="inlineStr">
        <is>
          <t>Prior</t>
        </is>
      </c>
      <c r="B14" s="13" t="inlineStr">
        <is>
          <t>2025/03/31</t>
        </is>
      </c>
      <c r="C14" s="12" t="inlineStr">
        <is>
          <t>JV-25007</t>
        </is>
      </c>
      <c r="D14" s="12" t="inlineStr">
        <is>
          <t>管理部</t>
        </is>
      </c>
      <c r="E14" s="12" t="inlineStr">
        <is>
          <t>共通</t>
        </is>
      </c>
      <c r="F14" s="12" t="inlineStr">
        <is>
          <t>ADM</t>
        </is>
      </c>
      <c r="G14" s="12" t="inlineStr">
        <is>
          <t>6130</t>
        </is>
      </c>
      <c r="H14" s="12" t="inlineStr">
        <is>
          <t>賞与</t>
        </is>
      </c>
      <c r="I14" s="12" t="inlineStr">
        <is>
          <t>2190</t>
        </is>
      </c>
      <c r="J14" s="12" t="inlineStr">
        <is>
          <t>賞与引当金</t>
        </is>
      </c>
      <c r="K14" s="14" t="n">
        <v>800000</v>
      </c>
      <c r="L14" s="12" t="inlineStr">
        <is>
          <t>賞与引当</t>
        </is>
      </c>
      <c r="M14" s="12" t="inlineStr">
        <is>
          <t>従業員</t>
        </is>
      </c>
      <c r="N14" s="12" t="inlineStr">
        <is>
          <t>対象外</t>
        </is>
      </c>
      <c r="O14" s="12" t="inlineStr">
        <is>
          <t>-</t>
        </is>
      </c>
      <c r="P14" s="12" t="inlineStr"/>
      <c r="Q14" s="15">
        <f>IF(AND(A14&lt;&gt;"",G14&lt;&gt;"",I14&lt;&gt;"",K14&gt;0),"OK","")</f>
        <v/>
      </c>
    </row>
    <row r="15" ht="18" customHeight="1">
      <c r="A15" s="12" t="inlineStr">
        <is>
          <t>Prior</t>
        </is>
      </c>
      <c r="B15" s="13" t="inlineStr">
        <is>
          <t>2025/04/05</t>
        </is>
      </c>
      <c r="C15" s="12" t="inlineStr">
        <is>
          <t>JV-25008</t>
        </is>
      </c>
      <c r="D15" s="12" t="inlineStr">
        <is>
          <t>営業部</t>
        </is>
      </c>
      <c r="E15" s="12" t="inlineStr">
        <is>
          <t>共通</t>
        </is>
      </c>
      <c r="F15" s="12" t="inlineStr">
        <is>
          <t>SAL</t>
        </is>
      </c>
      <c r="G15" s="12" t="inlineStr">
        <is>
          <t>6140</t>
        </is>
      </c>
      <c r="H15" s="12" t="inlineStr">
        <is>
          <t>福利厚生費</t>
        </is>
      </c>
      <c r="I15" s="12" t="inlineStr">
        <is>
          <t>1110</t>
        </is>
      </c>
      <c r="J15" s="12" t="inlineStr">
        <is>
          <t>現金及び預金</t>
        </is>
      </c>
      <c r="K15" s="14" t="n">
        <v>700000</v>
      </c>
      <c r="L15" s="12" t="inlineStr">
        <is>
          <t>福利厚生費支払</t>
        </is>
      </c>
      <c r="M15" s="12" t="inlineStr">
        <is>
          <t>福利厚生業者</t>
        </is>
      </c>
      <c r="N15" s="12" t="inlineStr">
        <is>
          <t>課税10%</t>
        </is>
      </c>
      <c r="O15" s="12" t="inlineStr">
        <is>
          <t>適格</t>
        </is>
      </c>
      <c r="P15" s="12" t="inlineStr"/>
      <c r="Q15" s="15">
        <f>IF(AND(A15&lt;&gt;"",G15&lt;&gt;"",I15&lt;&gt;"",K15&gt;0),"OK","")</f>
        <v/>
      </c>
    </row>
    <row r="16" ht="18" customHeight="1">
      <c r="A16" s="12" t="inlineStr">
        <is>
          <t>Prior</t>
        </is>
      </c>
      <c r="B16" s="13" t="inlineStr">
        <is>
          <t>2025/04/12</t>
        </is>
      </c>
      <c r="C16" s="12" t="inlineStr">
        <is>
          <t>JV-25009</t>
        </is>
      </c>
      <c r="D16" s="12" t="inlineStr">
        <is>
          <t>営業部</t>
        </is>
      </c>
      <c r="E16" s="12" t="inlineStr">
        <is>
          <t>共通</t>
        </is>
      </c>
      <c r="F16" s="12" t="inlineStr">
        <is>
          <t>SAL</t>
        </is>
      </c>
      <c r="G16" s="12" t="inlineStr">
        <is>
          <t>6160</t>
        </is>
      </c>
      <c r="H16" s="12" t="inlineStr">
        <is>
          <t>広告宣伝費</t>
        </is>
      </c>
      <c r="I16" s="12" t="inlineStr">
        <is>
          <t>1110</t>
        </is>
      </c>
      <c r="J16" s="12" t="inlineStr">
        <is>
          <t>現金及び預金</t>
        </is>
      </c>
      <c r="K16" s="14" t="n">
        <v>900000</v>
      </c>
      <c r="L16" s="12" t="inlineStr">
        <is>
          <t>広告費支払</t>
        </is>
      </c>
      <c r="M16" s="12" t="inlineStr">
        <is>
          <t>広告代理店</t>
        </is>
      </c>
      <c r="N16" s="12" t="inlineStr">
        <is>
          <t>課税10%</t>
        </is>
      </c>
      <c r="O16" s="12" t="inlineStr">
        <is>
          <t>適格</t>
        </is>
      </c>
      <c r="P16" s="12" t="inlineStr"/>
      <c r="Q16" s="15">
        <f>IF(AND(A16&lt;&gt;"",G16&lt;&gt;"",I16&lt;&gt;"",K16&gt;0),"OK","")</f>
        <v/>
      </c>
    </row>
    <row r="17" ht="18" customHeight="1">
      <c r="A17" s="12" t="inlineStr">
        <is>
          <t>Prior</t>
        </is>
      </c>
      <c r="B17" s="13" t="inlineStr">
        <is>
          <t>2025/04/20</t>
        </is>
      </c>
      <c r="C17" s="12" t="inlineStr">
        <is>
          <t>JV-25010</t>
        </is>
      </c>
      <c r="D17" s="12" t="inlineStr">
        <is>
          <t>営業部</t>
        </is>
      </c>
      <c r="E17" s="12" t="inlineStr">
        <is>
          <t>共通</t>
        </is>
      </c>
      <c r="F17" s="12" t="inlineStr">
        <is>
          <t>SAL</t>
        </is>
      </c>
      <c r="G17" s="12" t="inlineStr">
        <is>
          <t>6180</t>
        </is>
      </c>
      <c r="H17" s="12" t="inlineStr">
        <is>
          <t>旅費交通費</t>
        </is>
      </c>
      <c r="I17" s="12" t="inlineStr">
        <is>
          <t>1110</t>
        </is>
      </c>
      <c r="J17" s="12" t="inlineStr">
        <is>
          <t>現金及び預金</t>
        </is>
      </c>
      <c r="K17" s="14" t="n">
        <v>650000</v>
      </c>
      <c r="L17" s="12" t="inlineStr">
        <is>
          <t>出張旅費</t>
        </is>
      </c>
      <c r="M17" s="12" t="inlineStr">
        <is>
          <t>社員出張</t>
        </is>
      </c>
      <c r="N17" s="12" t="inlineStr">
        <is>
          <t>対象外</t>
        </is>
      </c>
      <c r="O17" s="12" t="inlineStr">
        <is>
          <t>帳簿保存</t>
        </is>
      </c>
      <c r="P17" s="12" t="inlineStr"/>
      <c r="Q17" s="15">
        <f>IF(AND(A17&lt;&gt;"",G17&lt;&gt;"",I17&lt;&gt;"",K17&gt;0),"OK","")</f>
        <v/>
      </c>
    </row>
    <row r="18" ht="18" customHeight="1">
      <c r="A18" s="12" t="inlineStr">
        <is>
          <t>Prior</t>
        </is>
      </c>
      <c r="B18" s="13" t="inlineStr">
        <is>
          <t>2025/05/10</t>
        </is>
      </c>
      <c r="C18" s="12" t="inlineStr">
        <is>
          <t>JV-25011</t>
        </is>
      </c>
      <c r="D18" s="12" t="inlineStr">
        <is>
          <t>管理部</t>
        </is>
      </c>
      <c r="E18" s="12" t="inlineStr">
        <is>
          <t>共通</t>
        </is>
      </c>
      <c r="F18" s="12" t="inlineStr">
        <is>
          <t>ADM</t>
        </is>
      </c>
      <c r="G18" s="12" t="inlineStr">
        <is>
          <t>6190</t>
        </is>
      </c>
      <c r="H18" s="12" t="inlineStr">
        <is>
          <t>通信費</t>
        </is>
      </c>
      <c r="I18" s="12" t="inlineStr">
        <is>
          <t>1110</t>
        </is>
      </c>
      <c r="J18" s="12" t="inlineStr">
        <is>
          <t>現金及び預金</t>
        </is>
      </c>
      <c r="K18" s="14" t="n">
        <v>300000</v>
      </c>
      <c r="L18" s="12" t="inlineStr">
        <is>
          <t>通信費支払</t>
        </is>
      </c>
      <c r="M18" s="12" t="inlineStr">
        <is>
          <t>通信事業者</t>
        </is>
      </c>
      <c r="N18" s="12" t="inlineStr">
        <is>
          <t>課税10%</t>
        </is>
      </c>
      <c r="O18" s="12" t="inlineStr">
        <is>
          <t>適格</t>
        </is>
      </c>
      <c r="P18" s="12" t="inlineStr"/>
      <c r="Q18" s="15">
        <f>IF(AND(A18&lt;&gt;"",G18&lt;&gt;"",I18&lt;&gt;"",K18&gt;0),"OK","")</f>
        <v/>
      </c>
    </row>
    <row r="19" ht="18" customHeight="1">
      <c r="A19" s="12" t="inlineStr">
        <is>
          <t>Prior</t>
        </is>
      </c>
      <c r="B19" s="13" t="inlineStr">
        <is>
          <t>2025/05/31</t>
        </is>
      </c>
      <c r="C19" s="12" t="inlineStr">
        <is>
          <t>JV-25012</t>
        </is>
      </c>
      <c r="D19" s="12" t="inlineStr">
        <is>
          <t>管理部</t>
        </is>
      </c>
      <c r="E19" s="12" t="inlineStr">
        <is>
          <t>共通</t>
        </is>
      </c>
      <c r="F19" s="12" t="inlineStr">
        <is>
          <t>ADM</t>
        </is>
      </c>
      <c r="G19" s="12" t="inlineStr">
        <is>
          <t>6200</t>
        </is>
      </c>
      <c r="H19" s="12" t="inlineStr">
        <is>
          <t>地代家賃</t>
        </is>
      </c>
      <c r="I19" s="12" t="inlineStr">
        <is>
          <t>1110</t>
        </is>
      </c>
      <c r="J19" s="12" t="inlineStr">
        <is>
          <t>現金及び預金</t>
        </is>
      </c>
      <c r="K19" s="14" t="n">
        <v>2400000</v>
      </c>
      <c r="L19" s="12" t="inlineStr">
        <is>
          <t>オフィス賃料</t>
        </is>
      </c>
      <c r="M19" s="12" t="inlineStr">
        <is>
          <t>大家</t>
        </is>
      </c>
      <c r="N19" s="12" t="inlineStr">
        <is>
          <t>非課税</t>
        </is>
      </c>
      <c r="O19" s="12" t="inlineStr">
        <is>
          <t>-</t>
        </is>
      </c>
      <c r="P19" s="12" t="inlineStr"/>
      <c r="Q19" s="15">
        <f>IF(AND(A19&lt;&gt;"",G19&lt;&gt;"",I19&lt;&gt;"",K19&gt;0),"OK","")</f>
        <v/>
      </c>
    </row>
    <row r="20" ht="18" customHeight="1">
      <c r="A20" s="12" t="inlineStr">
        <is>
          <t>Prior</t>
        </is>
      </c>
      <c r="B20" s="13" t="inlineStr">
        <is>
          <t>2025/05/31</t>
        </is>
      </c>
      <c r="C20" s="12" t="inlineStr">
        <is>
          <t>JV-25013</t>
        </is>
      </c>
      <c r="D20" s="12" t="inlineStr">
        <is>
          <t>管理部</t>
        </is>
      </c>
      <c r="E20" s="12" t="inlineStr">
        <is>
          <t>共通</t>
        </is>
      </c>
      <c r="F20" s="12" t="inlineStr">
        <is>
          <t>ADM</t>
        </is>
      </c>
      <c r="G20" s="12" t="inlineStr">
        <is>
          <t>6280</t>
        </is>
      </c>
      <c r="H20" s="12" t="inlineStr">
        <is>
          <t>水道光熱費</t>
        </is>
      </c>
      <c r="I20" s="12" t="inlineStr">
        <is>
          <t>2150</t>
        </is>
      </c>
      <c r="J20" s="12" t="inlineStr">
        <is>
          <t>未払費用</t>
        </is>
      </c>
      <c r="K20" s="14" t="n">
        <v>450000</v>
      </c>
      <c r="L20" s="12" t="inlineStr">
        <is>
          <t>水道光熱費計上</t>
        </is>
      </c>
      <c r="M20" s="12" t="inlineStr">
        <is>
          <t>インフラ業者</t>
        </is>
      </c>
      <c r="N20" s="12" t="inlineStr">
        <is>
          <t>課税10%</t>
        </is>
      </c>
      <c r="O20" s="12" t="inlineStr">
        <is>
          <t>適格</t>
        </is>
      </c>
      <c r="P20" s="12" t="inlineStr"/>
      <c r="Q20" s="15">
        <f>IF(AND(A20&lt;&gt;"",G20&lt;&gt;"",I20&lt;&gt;"",K20&gt;0),"OK","")</f>
        <v/>
      </c>
    </row>
    <row r="21" ht="18" customHeight="1">
      <c r="A21" s="12" t="inlineStr">
        <is>
          <t>Prior</t>
        </is>
      </c>
      <c r="B21" s="13" t="inlineStr">
        <is>
          <t>2025/06/10</t>
        </is>
      </c>
      <c r="C21" s="12" t="inlineStr">
        <is>
          <t>JV-25014</t>
        </is>
      </c>
      <c r="D21" s="12" t="inlineStr">
        <is>
          <t>管理部</t>
        </is>
      </c>
      <c r="E21" s="12" t="inlineStr">
        <is>
          <t>共通</t>
        </is>
      </c>
      <c r="F21" s="12" t="inlineStr">
        <is>
          <t>ADM</t>
        </is>
      </c>
      <c r="G21" s="12" t="inlineStr">
        <is>
          <t>6230</t>
        </is>
      </c>
      <c r="H21" s="12" t="inlineStr">
        <is>
          <t>消耗品費</t>
        </is>
      </c>
      <c r="I21" s="12" t="inlineStr">
        <is>
          <t>1110</t>
        </is>
      </c>
      <c r="J21" s="12" t="inlineStr">
        <is>
          <t>現金及び預金</t>
        </is>
      </c>
      <c r="K21" s="14" t="n">
        <v>350000</v>
      </c>
      <c r="L21" s="12" t="inlineStr">
        <is>
          <t>備品購入</t>
        </is>
      </c>
      <c r="M21" s="12" t="inlineStr">
        <is>
          <t>文具店</t>
        </is>
      </c>
      <c r="N21" s="12" t="inlineStr">
        <is>
          <t>課税10%</t>
        </is>
      </c>
      <c r="O21" s="12" t="inlineStr">
        <is>
          <t>適格</t>
        </is>
      </c>
      <c r="P21" s="12" t="inlineStr"/>
      <c r="Q21" s="15">
        <f>IF(AND(A21&lt;&gt;"",G21&lt;&gt;"",I21&lt;&gt;"",K21&gt;0),"OK","")</f>
        <v/>
      </c>
    </row>
    <row r="22" ht="18" customHeight="1">
      <c r="A22" s="12" t="inlineStr">
        <is>
          <t>Prior</t>
        </is>
      </c>
      <c r="B22" s="13" t="inlineStr">
        <is>
          <t>2025/06/20</t>
        </is>
      </c>
      <c r="C22" s="12" t="inlineStr">
        <is>
          <t>JV-25015</t>
        </is>
      </c>
      <c r="D22" s="12" t="inlineStr">
        <is>
          <t>管理部</t>
        </is>
      </c>
      <c r="E22" s="12" t="inlineStr">
        <is>
          <t>共通</t>
        </is>
      </c>
      <c r="F22" s="12" t="inlineStr">
        <is>
          <t>ADM</t>
        </is>
      </c>
      <c r="G22" s="12" t="inlineStr">
        <is>
          <t>6240</t>
        </is>
      </c>
      <c r="H22" s="12" t="inlineStr">
        <is>
          <t>支払報酬料</t>
        </is>
      </c>
      <c r="I22" s="12" t="inlineStr">
        <is>
          <t>2140</t>
        </is>
      </c>
      <c r="J22" s="12" t="inlineStr">
        <is>
          <t>未払金</t>
        </is>
      </c>
      <c r="K22" s="14" t="n">
        <v>500000</v>
      </c>
      <c r="L22" s="12" t="inlineStr">
        <is>
          <t>顧問料計上</t>
        </is>
      </c>
      <c r="M22" s="12" t="inlineStr">
        <is>
          <t>税理士</t>
        </is>
      </c>
      <c r="N22" s="12" t="inlineStr">
        <is>
          <t>対象外</t>
        </is>
      </c>
      <c r="O22" s="12" t="inlineStr">
        <is>
          <t>-</t>
        </is>
      </c>
      <c r="P22" s="12" t="inlineStr"/>
      <c r="Q22" s="15">
        <f>IF(AND(A22&lt;&gt;"",G22&lt;&gt;"",I22&lt;&gt;"",K22&gt;0),"OK","")</f>
        <v/>
      </c>
    </row>
    <row r="23" ht="18" customHeight="1">
      <c r="A23" s="12" t="inlineStr">
        <is>
          <t>Prior</t>
        </is>
      </c>
      <c r="B23" s="13" t="inlineStr">
        <is>
          <t>2025/06/30</t>
        </is>
      </c>
      <c r="C23" s="12" t="inlineStr">
        <is>
          <t>JV-25016</t>
        </is>
      </c>
      <c r="D23" s="12" t="inlineStr">
        <is>
          <t>管理部</t>
        </is>
      </c>
      <c r="E23" s="12" t="inlineStr">
        <is>
          <t>共通</t>
        </is>
      </c>
      <c r="F23" s="12" t="inlineStr">
        <is>
          <t>ADM</t>
        </is>
      </c>
      <c r="G23" s="12" t="inlineStr">
        <is>
          <t>6210</t>
        </is>
      </c>
      <c r="H23" s="12" t="inlineStr">
        <is>
          <t>減価償却費</t>
        </is>
      </c>
      <c r="I23" s="12" t="inlineStr">
        <is>
          <t>1590</t>
        </is>
      </c>
      <c r="J23" s="12" t="inlineStr">
        <is>
          <t>減価償却累計額</t>
        </is>
      </c>
      <c r="K23" s="14" t="n">
        <v>2800000</v>
      </c>
      <c r="L23" s="12" t="inlineStr">
        <is>
          <t>定率/定額償却</t>
        </is>
      </c>
      <c r="M23" s="12" t="inlineStr">
        <is>
          <t>固定資産</t>
        </is>
      </c>
      <c r="N23" s="12" t="inlineStr">
        <is>
          <t>対象外</t>
        </is>
      </c>
      <c r="O23" s="12" t="inlineStr">
        <is>
          <t>-</t>
        </is>
      </c>
      <c r="P23" s="12" t="inlineStr"/>
      <c r="Q23" s="15">
        <f>IF(AND(A23&lt;&gt;"",G23&lt;&gt;"",I23&lt;&gt;"",K23&gt;0),"OK","")</f>
        <v/>
      </c>
    </row>
    <row r="24" ht="18" customHeight="1">
      <c r="A24" s="12" t="inlineStr">
        <is>
          <t>Prior</t>
        </is>
      </c>
      <c r="B24" s="13" t="inlineStr">
        <is>
          <t>2025/07/10</t>
        </is>
      </c>
      <c r="C24" s="12" t="inlineStr">
        <is>
          <t>JV-25017</t>
        </is>
      </c>
      <c r="D24" s="12" t="inlineStr">
        <is>
          <t>管理部</t>
        </is>
      </c>
      <c r="E24" s="12" t="inlineStr">
        <is>
          <t>共通</t>
        </is>
      </c>
      <c r="F24" s="12" t="inlineStr">
        <is>
          <t>FIN</t>
        </is>
      </c>
      <c r="G24" s="12" t="inlineStr">
        <is>
          <t>7210</t>
        </is>
      </c>
      <c r="H24" s="12" t="inlineStr">
        <is>
          <t>支払利息</t>
        </is>
      </c>
      <c r="I24" s="12" t="inlineStr">
        <is>
          <t>1110</t>
        </is>
      </c>
      <c r="J24" s="12" t="inlineStr">
        <is>
          <t>現金及び預金</t>
        </is>
      </c>
      <c r="K24" s="14" t="n">
        <v>600000</v>
      </c>
      <c r="L24" s="12" t="inlineStr">
        <is>
          <t>借入利息支払</t>
        </is>
      </c>
      <c r="M24" s="12" t="inlineStr">
        <is>
          <t>銀行</t>
        </is>
      </c>
      <c r="N24" s="12" t="inlineStr">
        <is>
          <t>非課税</t>
        </is>
      </c>
      <c r="O24" s="12" t="inlineStr">
        <is>
          <t>-</t>
        </is>
      </c>
      <c r="P24" s="12" t="inlineStr"/>
      <c r="Q24" s="15">
        <f>IF(AND(A24&lt;&gt;"",G24&lt;&gt;"",I24&lt;&gt;"",K24&gt;0),"OK","")</f>
        <v/>
      </c>
    </row>
    <row r="25" ht="18" customHeight="1">
      <c r="A25" s="12" t="inlineStr">
        <is>
          <t>Prior</t>
        </is>
      </c>
      <c r="B25" s="13" t="inlineStr">
        <is>
          <t>2025/07/20</t>
        </is>
      </c>
      <c r="C25" s="12" t="inlineStr">
        <is>
          <t>JV-25018</t>
        </is>
      </c>
      <c r="D25" s="12" t="inlineStr">
        <is>
          <t>管理部</t>
        </is>
      </c>
      <c r="E25" s="12" t="inlineStr">
        <is>
          <t>共通</t>
        </is>
      </c>
      <c r="F25" s="12" t="inlineStr">
        <is>
          <t>FIN</t>
        </is>
      </c>
      <c r="G25" s="12" t="inlineStr">
        <is>
          <t>1110</t>
        </is>
      </c>
      <c r="H25" s="12" t="inlineStr">
        <is>
          <t>現金及び預金</t>
        </is>
      </c>
      <c r="I25" s="12" t="inlineStr">
        <is>
          <t>2520</t>
        </is>
      </c>
      <c r="J25" s="12" t="inlineStr">
        <is>
          <t>長期借入金</t>
        </is>
      </c>
      <c r="K25" s="14" t="n">
        <v>8000000</v>
      </c>
      <c r="L25" s="12" t="inlineStr">
        <is>
          <t>長期借入実行</t>
        </is>
      </c>
      <c r="M25" s="12" t="inlineStr">
        <is>
          <t>銀行</t>
        </is>
      </c>
      <c r="N25" s="12" t="inlineStr">
        <is>
          <t>対象外</t>
        </is>
      </c>
      <c r="O25" s="12" t="inlineStr">
        <is>
          <t>-</t>
        </is>
      </c>
      <c r="P25" s="12" t="inlineStr"/>
      <c r="Q25" s="15">
        <f>IF(AND(A25&lt;&gt;"",G25&lt;&gt;"",I25&lt;&gt;"",K25&gt;0),"OK","")</f>
        <v/>
      </c>
    </row>
    <row r="26" ht="18" customHeight="1">
      <c r="A26" s="12" t="inlineStr">
        <is>
          <t>Prior</t>
        </is>
      </c>
      <c r="B26" s="13" t="inlineStr">
        <is>
          <t>2025/08/01</t>
        </is>
      </c>
      <c r="C26" s="12" t="inlineStr">
        <is>
          <t>JV-25019</t>
        </is>
      </c>
      <c r="D26" s="12" t="inlineStr">
        <is>
          <t>開発部</t>
        </is>
      </c>
      <c r="E26" s="12" t="inlineStr">
        <is>
          <t>共通</t>
        </is>
      </c>
      <c r="F26" s="12" t="inlineStr">
        <is>
          <t>RND</t>
        </is>
      </c>
      <c r="G26" s="12" t="inlineStr">
        <is>
          <t>1620</t>
        </is>
      </c>
      <c r="H26" s="12" t="inlineStr">
        <is>
          <t>ソフトウェア</t>
        </is>
      </c>
      <c r="I26" s="12" t="inlineStr">
        <is>
          <t>1110</t>
        </is>
      </c>
      <c r="J26" s="12" t="inlineStr">
        <is>
          <t>現金及び預金</t>
        </is>
      </c>
      <c r="K26" s="14" t="n">
        <v>1200000</v>
      </c>
      <c r="L26" s="12" t="inlineStr">
        <is>
          <t>ソフト購入</t>
        </is>
      </c>
      <c r="M26" s="12" t="inlineStr">
        <is>
          <t>ソフト会社</t>
        </is>
      </c>
      <c r="N26" s="12" t="inlineStr">
        <is>
          <t>課税10%</t>
        </is>
      </c>
      <c r="O26" s="12" t="inlineStr">
        <is>
          <t>適格</t>
        </is>
      </c>
      <c r="P26" s="12" t="inlineStr"/>
      <c r="Q26" s="15">
        <f>IF(AND(A26&lt;&gt;"",G26&lt;&gt;"",I26&lt;&gt;"",K26&gt;0),"OK","")</f>
        <v/>
      </c>
    </row>
    <row r="27" ht="18" customHeight="1">
      <c r="A27" s="12" t="inlineStr">
        <is>
          <t>Prior</t>
        </is>
      </c>
      <c r="B27" s="13" t="inlineStr">
        <is>
          <t>2025/09/30</t>
        </is>
      </c>
      <c r="C27" s="12" t="inlineStr">
        <is>
          <t>JV-25020</t>
        </is>
      </c>
      <c r="D27" s="12" t="inlineStr">
        <is>
          <t>管理部</t>
        </is>
      </c>
      <c r="E27" s="12" t="inlineStr">
        <is>
          <t>共通</t>
        </is>
      </c>
      <c r="F27" s="12" t="inlineStr">
        <is>
          <t>FIN</t>
        </is>
      </c>
      <c r="G27" s="12" t="inlineStr">
        <is>
          <t>9110</t>
        </is>
      </c>
      <c r="H27" s="12" t="inlineStr">
        <is>
          <t>法人税、住民税及び事業税</t>
        </is>
      </c>
      <c r="I27" s="12" t="inlineStr">
        <is>
          <t>2160</t>
        </is>
      </c>
      <c r="J27" s="12" t="inlineStr">
        <is>
          <t>未払法人税等</t>
        </is>
      </c>
      <c r="K27" s="14" t="n">
        <v>1600000</v>
      </c>
      <c r="L27" s="12" t="inlineStr">
        <is>
          <t>税金見積計上</t>
        </is>
      </c>
      <c r="M27" s="12" t="inlineStr">
        <is>
          <t>税務</t>
        </is>
      </c>
      <c r="N27" s="12" t="inlineStr">
        <is>
          <t>対象外</t>
        </is>
      </c>
      <c r="O27" s="12" t="inlineStr">
        <is>
          <t>-</t>
        </is>
      </c>
      <c r="P27" s="12" t="inlineStr"/>
      <c r="Q27" s="15">
        <f>IF(AND(A27&lt;&gt;"",G27&lt;&gt;"",I27&lt;&gt;"",K27&gt;0),"OK","")</f>
        <v/>
      </c>
    </row>
    <row r="28" ht="18" customHeight="1">
      <c r="A28" s="12" t="inlineStr">
        <is>
          <t>Prior</t>
        </is>
      </c>
      <c r="B28" s="13" t="inlineStr">
        <is>
          <t>2025/10/15</t>
        </is>
      </c>
      <c r="C28" s="12" t="inlineStr">
        <is>
          <t>JV-25021</t>
        </is>
      </c>
      <c r="D28" s="12" t="inlineStr">
        <is>
          <t>管理部</t>
        </is>
      </c>
      <c r="E28" s="12" t="inlineStr">
        <is>
          <t>共通</t>
        </is>
      </c>
      <c r="F28" s="12" t="inlineStr">
        <is>
          <t>FIN</t>
        </is>
      </c>
      <c r="G28" s="12" t="inlineStr">
        <is>
          <t>1110</t>
        </is>
      </c>
      <c r="H28" s="12" t="inlineStr">
        <is>
          <t>現金及び預金</t>
        </is>
      </c>
      <c r="I28" s="12" t="inlineStr">
        <is>
          <t>7110</t>
        </is>
      </c>
      <c r="J28" s="12" t="inlineStr">
        <is>
          <t>受取利息</t>
        </is>
      </c>
      <c r="K28" s="14" t="n">
        <v>250000</v>
      </c>
      <c r="L28" s="12" t="inlineStr">
        <is>
          <t>利息入金</t>
        </is>
      </c>
      <c r="M28" s="12" t="inlineStr">
        <is>
          <t>銀行</t>
        </is>
      </c>
      <c r="N28" s="12" t="inlineStr">
        <is>
          <t>非課税</t>
        </is>
      </c>
      <c r="O28" s="12" t="inlineStr">
        <is>
          <t>-</t>
        </is>
      </c>
      <c r="P28" s="12" t="inlineStr"/>
      <c r="Q28" s="15">
        <f>IF(AND(A28&lt;&gt;"",G28&lt;&gt;"",I28&lt;&gt;"",K28&gt;0),"OK","")</f>
        <v/>
      </c>
    </row>
    <row r="29" ht="18" customHeight="1">
      <c r="A29" s="12" t="inlineStr">
        <is>
          <t>Prior</t>
        </is>
      </c>
      <c r="B29" s="13" t="inlineStr">
        <is>
          <t>2025/11/05</t>
        </is>
      </c>
      <c r="C29" s="12" t="inlineStr">
        <is>
          <t>JV-25022</t>
        </is>
      </c>
      <c r="D29" s="12" t="inlineStr">
        <is>
          <t>管理部</t>
        </is>
      </c>
      <c r="E29" s="12" t="inlineStr">
        <is>
          <t>共通</t>
        </is>
      </c>
      <c r="F29" s="12" t="inlineStr">
        <is>
          <t>FIN</t>
        </is>
      </c>
      <c r="G29" s="12" t="inlineStr">
        <is>
          <t>1110</t>
        </is>
      </c>
      <c r="H29" s="12" t="inlineStr">
        <is>
          <t>現金及び預金</t>
        </is>
      </c>
      <c r="I29" s="12" t="inlineStr">
        <is>
          <t>7198</t>
        </is>
      </c>
      <c r="J29" s="12" t="inlineStr">
        <is>
          <t>雑収入</t>
        </is>
      </c>
      <c r="K29" s="14" t="n">
        <v>400000</v>
      </c>
      <c r="L29" s="12" t="inlineStr">
        <is>
          <t>雑収入</t>
        </is>
      </c>
      <c r="M29" s="12" t="inlineStr">
        <is>
          <t>その他</t>
        </is>
      </c>
      <c r="N29" s="12" t="inlineStr">
        <is>
          <t>対象外</t>
        </is>
      </c>
      <c r="O29" s="12" t="inlineStr">
        <is>
          <t>-</t>
        </is>
      </c>
      <c r="P29" s="12" t="inlineStr"/>
      <c r="Q29" s="15">
        <f>IF(AND(A29&lt;&gt;"",G29&lt;&gt;"",I29&lt;&gt;"",K29&gt;0),"OK","")</f>
        <v/>
      </c>
    </row>
    <row r="30" ht="18" customHeight="1">
      <c r="A30" s="12" t="inlineStr">
        <is>
          <t>Prior</t>
        </is>
      </c>
      <c r="B30" s="13" t="inlineStr">
        <is>
          <t>2025/11/20</t>
        </is>
      </c>
      <c r="C30" s="12" t="inlineStr">
        <is>
          <t>JV-25023</t>
        </is>
      </c>
      <c r="D30" s="12" t="inlineStr">
        <is>
          <t>営業部</t>
        </is>
      </c>
      <c r="E30" s="12" t="inlineStr">
        <is>
          <t>製品B</t>
        </is>
      </c>
      <c r="F30" s="12" t="inlineStr">
        <is>
          <t>PJ-B</t>
        </is>
      </c>
      <c r="G30" s="12" t="inlineStr">
        <is>
          <t>1110</t>
        </is>
      </c>
      <c r="H30" s="12" t="inlineStr">
        <is>
          <t>現金及び預金</t>
        </is>
      </c>
      <c r="I30" s="12" t="inlineStr">
        <is>
          <t>2170</t>
        </is>
      </c>
      <c r="J30" s="12" t="inlineStr">
        <is>
          <t>契約負債</t>
        </is>
      </c>
      <c r="K30" s="14" t="n">
        <v>2000000</v>
      </c>
      <c r="L30" s="12" t="inlineStr">
        <is>
          <t>前受金受領</t>
        </is>
      </c>
      <c r="M30" s="12" t="inlineStr">
        <is>
          <t>得意先B</t>
        </is>
      </c>
      <c r="N30" s="12" t="inlineStr">
        <is>
          <t>対象外</t>
        </is>
      </c>
      <c r="O30" s="12" t="inlineStr">
        <is>
          <t>-</t>
        </is>
      </c>
      <c r="P30" s="12" t="inlineStr"/>
      <c r="Q30" s="15">
        <f>IF(AND(A30&lt;&gt;"",G30&lt;&gt;"",I30&lt;&gt;"",K30&gt;0),"OK","")</f>
        <v/>
      </c>
    </row>
    <row r="31" ht="18" customHeight="1">
      <c r="A31" s="12" t="inlineStr">
        <is>
          <t>Prior</t>
        </is>
      </c>
      <c r="B31" s="13" t="inlineStr">
        <is>
          <t>2025/12/01</t>
        </is>
      </c>
      <c r="C31" s="12" t="inlineStr">
        <is>
          <t>JV-25024</t>
        </is>
      </c>
      <c r="D31" s="12" t="inlineStr">
        <is>
          <t>営業部</t>
        </is>
      </c>
      <c r="E31" s="12" t="inlineStr">
        <is>
          <t>製品B</t>
        </is>
      </c>
      <c r="F31" s="12" t="inlineStr">
        <is>
          <t>PJ-B</t>
        </is>
      </c>
      <c r="G31" s="12" t="inlineStr">
        <is>
          <t>2170</t>
        </is>
      </c>
      <c r="H31" s="12" t="inlineStr">
        <is>
          <t>契約負債</t>
        </is>
      </c>
      <c r="I31" s="12" t="inlineStr">
        <is>
          <t>4110</t>
        </is>
      </c>
      <c r="J31" s="12" t="inlineStr">
        <is>
          <t>売上高</t>
        </is>
      </c>
      <c r="K31" s="14" t="n">
        <v>1000000</v>
      </c>
      <c r="L31" s="12" t="inlineStr">
        <is>
          <t>前受分売上計上</t>
        </is>
      </c>
      <c r="M31" s="12" t="inlineStr">
        <is>
          <t>得意先B</t>
        </is>
      </c>
      <c r="N31" s="12" t="inlineStr">
        <is>
          <t>課税10%</t>
        </is>
      </c>
      <c r="O31" s="12" t="inlineStr">
        <is>
          <t>適格</t>
        </is>
      </c>
      <c r="P31" s="12" t="inlineStr"/>
      <c r="Q31" s="15">
        <f>IF(AND(A31&lt;&gt;"",G31&lt;&gt;"",I31&lt;&gt;"",K31&gt;0),"OK","")</f>
        <v/>
      </c>
    </row>
    <row r="32" ht="18" customHeight="1">
      <c r="A32" s="12" t="inlineStr">
        <is>
          <t>Prior</t>
        </is>
      </c>
      <c r="B32" s="13" t="inlineStr">
        <is>
          <t>2025/12/10</t>
        </is>
      </c>
      <c r="C32" s="12" t="inlineStr">
        <is>
          <t>JV-25025</t>
        </is>
      </c>
      <c r="D32" s="12" t="inlineStr">
        <is>
          <t>管理部</t>
        </is>
      </c>
      <c r="E32" s="12" t="inlineStr">
        <is>
          <t>共通</t>
        </is>
      </c>
      <c r="F32" s="12" t="inlineStr">
        <is>
          <t>ADM</t>
        </is>
      </c>
      <c r="G32" s="12" t="inlineStr">
        <is>
          <t>1110</t>
        </is>
      </c>
      <c r="H32" s="12" t="inlineStr">
        <is>
          <t>現金及び預金</t>
        </is>
      </c>
      <c r="I32" s="12" t="inlineStr">
        <is>
          <t>2180</t>
        </is>
      </c>
      <c r="J32" s="12" t="inlineStr">
        <is>
          <t>預り金</t>
        </is>
      </c>
      <c r="K32" s="14" t="n">
        <v>500000</v>
      </c>
      <c r="L32" s="12" t="inlineStr">
        <is>
          <t>預り金受領</t>
        </is>
      </c>
      <c r="M32" s="12" t="inlineStr">
        <is>
          <t>その他</t>
        </is>
      </c>
      <c r="N32" s="12" t="inlineStr">
        <is>
          <t>対象外</t>
        </is>
      </c>
      <c r="O32" s="12" t="inlineStr">
        <is>
          <t>-</t>
        </is>
      </c>
      <c r="P32" s="12" t="inlineStr"/>
      <c r="Q32" s="15">
        <f>IF(AND(A32&lt;&gt;"",G32&lt;&gt;"",I32&lt;&gt;"",K32&gt;0),"OK","")</f>
        <v/>
      </c>
    </row>
    <row r="33" ht="18" customHeight="1">
      <c r="A33" s="12" t="inlineStr">
        <is>
          <t>Prior</t>
        </is>
      </c>
      <c r="B33" s="13" t="inlineStr">
        <is>
          <t>2025/12/20</t>
        </is>
      </c>
      <c r="C33" s="12" t="inlineStr">
        <is>
          <t>JV-25026</t>
        </is>
      </c>
      <c r="D33" s="12" t="inlineStr">
        <is>
          <t>管理部</t>
        </is>
      </c>
      <c r="E33" s="12" t="inlineStr">
        <is>
          <t>共通</t>
        </is>
      </c>
      <c r="F33" s="12" t="inlineStr">
        <is>
          <t>FIN</t>
        </is>
      </c>
      <c r="G33" s="12" t="inlineStr">
        <is>
          <t>2130</t>
        </is>
      </c>
      <c r="H33" s="12" t="inlineStr">
        <is>
          <t>1年内返済予定の長期借入金</t>
        </is>
      </c>
      <c r="I33" s="12" t="inlineStr">
        <is>
          <t>1110</t>
        </is>
      </c>
      <c r="J33" s="12" t="inlineStr">
        <is>
          <t>現金及び預金</t>
        </is>
      </c>
      <c r="K33" s="14" t="n">
        <v>1000000</v>
      </c>
      <c r="L33" s="12" t="inlineStr">
        <is>
          <t>長期借入返済</t>
        </is>
      </c>
      <c r="M33" s="12" t="inlineStr">
        <is>
          <t>銀行</t>
        </is>
      </c>
      <c r="N33" s="12" t="inlineStr">
        <is>
          <t>対象外</t>
        </is>
      </c>
      <c r="O33" s="12" t="inlineStr">
        <is>
          <t>-</t>
        </is>
      </c>
      <c r="P33" s="12" t="inlineStr"/>
      <c r="Q33" s="15">
        <f>IF(AND(A33&lt;&gt;"",G33&lt;&gt;"",I33&lt;&gt;"",K33&gt;0),"OK","")</f>
        <v/>
      </c>
    </row>
    <row r="34" ht="18" customHeight="1">
      <c r="A34" s="12" t="inlineStr">
        <is>
          <t>Prior</t>
        </is>
      </c>
      <c r="B34" s="13" t="inlineStr">
        <is>
          <t>2025/12/28</t>
        </is>
      </c>
      <c r="C34" s="12" t="inlineStr">
        <is>
          <t>JV-25027</t>
        </is>
      </c>
      <c r="D34" s="12" t="inlineStr">
        <is>
          <t>管理部</t>
        </is>
      </c>
      <c r="E34" s="12" t="inlineStr">
        <is>
          <t>共通</t>
        </is>
      </c>
      <c r="F34" s="12" t="inlineStr">
        <is>
          <t>FIN</t>
        </is>
      </c>
      <c r="G34" s="12" t="inlineStr">
        <is>
          <t>1710</t>
        </is>
      </c>
      <c r="H34" s="12" t="inlineStr">
        <is>
          <t>投資有価証券</t>
        </is>
      </c>
      <c r="I34" s="12" t="inlineStr">
        <is>
          <t>1110</t>
        </is>
      </c>
      <c r="J34" s="12" t="inlineStr">
        <is>
          <t>現金及び預金</t>
        </is>
      </c>
      <c r="K34" s="14" t="n">
        <v>3000000</v>
      </c>
      <c r="L34" s="12" t="inlineStr">
        <is>
          <t>投資有価証券取得</t>
        </is>
      </c>
      <c r="M34" s="12" t="inlineStr">
        <is>
          <t>証券会社</t>
        </is>
      </c>
      <c r="N34" s="12" t="inlineStr">
        <is>
          <t>対象外</t>
        </is>
      </c>
      <c r="O34" s="12" t="inlineStr">
        <is>
          <t>-</t>
        </is>
      </c>
      <c r="P34" s="12" t="inlineStr"/>
      <c r="Q34" s="15">
        <f>IF(AND(A34&lt;&gt;"",G34&lt;&gt;"",I34&lt;&gt;"",K34&gt;0),"OK","")</f>
        <v/>
      </c>
    </row>
    <row r="35" ht="18" customHeight="1">
      <c r="A35" s="12" t="inlineStr">
        <is>
          <t>Current</t>
        </is>
      </c>
      <c r="B35" s="13" t="inlineStr">
        <is>
          <t>2026/01/15</t>
        </is>
      </c>
      <c r="C35" s="12" t="inlineStr">
        <is>
          <t>JV-26001</t>
        </is>
      </c>
      <c r="D35" s="12" t="inlineStr">
        <is>
          <t>営業部</t>
        </is>
      </c>
      <c r="E35" s="12" t="inlineStr">
        <is>
          <t>製品A</t>
        </is>
      </c>
      <c r="F35" s="12" t="inlineStr">
        <is>
          <t>PJ-A</t>
        </is>
      </c>
      <c r="G35" s="12" t="inlineStr">
        <is>
          <t>1120</t>
        </is>
      </c>
      <c r="H35" s="12" t="inlineStr">
        <is>
          <t>売掛金</t>
        </is>
      </c>
      <c r="I35" s="12" t="inlineStr">
        <is>
          <t>4110</t>
        </is>
      </c>
      <c r="J35" s="12" t="inlineStr">
        <is>
          <t>売上高</t>
        </is>
      </c>
      <c r="K35" s="14" t="n">
        <v>36000000</v>
      </c>
      <c r="L35" s="12" t="inlineStr">
        <is>
          <t>掛売上</t>
        </is>
      </c>
      <c r="M35" s="12" t="inlineStr">
        <is>
          <t>得意先A</t>
        </is>
      </c>
      <c r="N35" s="12" t="inlineStr">
        <is>
          <t>課税10%</t>
        </is>
      </c>
      <c r="O35" s="12" t="inlineStr">
        <is>
          <t>適格</t>
        </is>
      </c>
      <c r="P35" s="12" t="inlineStr"/>
      <c r="Q35" s="15">
        <f>IF(AND(A35&lt;&gt;"",G35&lt;&gt;"",I35&lt;&gt;"",K35&gt;0),"OK","")</f>
        <v/>
      </c>
    </row>
    <row r="36" ht="18" customHeight="1">
      <c r="A36" s="12" t="inlineStr">
        <is>
          <t>Current</t>
        </is>
      </c>
      <c r="B36" s="13" t="inlineStr">
        <is>
          <t>2026/01/18</t>
        </is>
      </c>
      <c r="C36" s="12" t="inlineStr">
        <is>
          <t>JV-26002</t>
        </is>
      </c>
      <c r="D36" s="12" t="inlineStr">
        <is>
          <t>営業部</t>
        </is>
      </c>
      <c r="E36" s="12" t="inlineStr">
        <is>
          <t>製品A</t>
        </is>
      </c>
      <c r="F36" s="12" t="inlineStr">
        <is>
          <t>PJ-A</t>
        </is>
      </c>
      <c r="G36" s="12" t="inlineStr">
        <is>
          <t>1110</t>
        </is>
      </c>
      <c r="H36" s="12" t="inlineStr">
        <is>
          <t>現金及び預金</t>
        </is>
      </c>
      <c r="I36" s="12" t="inlineStr">
        <is>
          <t>4110</t>
        </is>
      </c>
      <c r="J36" s="12" t="inlineStr">
        <is>
          <t>売上高</t>
        </is>
      </c>
      <c r="K36" s="14" t="n">
        <v>15000000</v>
      </c>
      <c r="L36" s="12" t="inlineStr">
        <is>
          <t>現金売上</t>
        </is>
      </c>
      <c r="M36" s="12" t="inlineStr">
        <is>
          <t>店舗売上</t>
        </is>
      </c>
      <c r="N36" s="12" t="inlineStr">
        <is>
          <t>課税10%</t>
        </is>
      </c>
      <c r="O36" s="12" t="inlineStr">
        <is>
          <t>帳簿保存</t>
        </is>
      </c>
      <c r="P36" s="12" t="inlineStr"/>
      <c r="Q36" s="15">
        <f>IF(AND(A36&lt;&gt;"",G36&lt;&gt;"",I36&lt;&gt;"",K36&gt;0),"OK","")</f>
        <v/>
      </c>
    </row>
    <row r="37" ht="18" customHeight="1">
      <c r="A37" s="12" t="inlineStr">
        <is>
          <t>Current</t>
        </is>
      </c>
      <c r="B37" s="13" t="inlineStr">
        <is>
          <t>2026/01/25</t>
        </is>
      </c>
      <c r="C37" s="12" t="inlineStr">
        <is>
          <t>JV-26003</t>
        </is>
      </c>
      <c r="D37" s="12" t="inlineStr">
        <is>
          <t>営業部</t>
        </is>
      </c>
      <c r="E37" s="12" t="inlineStr">
        <is>
          <t>製品A</t>
        </is>
      </c>
      <c r="F37" s="12" t="inlineStr">
        <is>
          <t>PJ-A</t>
        </is>
      </c>
      <c r="G37" s="12" t="inlineStr">
        <is>
          <t>1110</t>
        </is>
      </c>
      <c r="H37" s="12" t="inlineStr">
        <is>
          <t>現金及び預金</t>
        </is>
      </c>
      <c r="I37" s="12" t="inlineStr">
        <is>
          <t>1120</t>
        </is>
      </c>
      <c r="J37" s="12" t="inlineStr">
        <is>
          <t>売掛金</t>
        </is>
      </c>
      <c r="K37" s="14" t="n">
        <v>31000000</v>
      </c>
      <c r="L37" s="12" t="inlineStr">
        <is>
          <t>売掛回収</t>
        </is>
      </c>
      <c r="M37" s="12" t="inlineStr">
        <is>
          <t>得意先A</t>
        </is>
      </c>
      <c r="N37" s="12" t="inlineStr">
        <is>
          <t>対象外</t>
        </is>
      </c>
      <c r="O37" s="12" t="inlineStr">
        <is>
          <t>-</t>
        </is>
      </c>
      <c r="P37" s="12" t="inlineStr"/>
      <c r="Q37" s="15">
        <f>IF(AND(A37&lt;&gt;"",G37&lt;&gt;"",I37&lt;&gt;"",K37&gt;0),"OK","")</f>
        <v/>
      </c>
    </row>
    <row r="38" ht="18" customHeight="1">
      <c r="A38" s="12" t="inlineStr">
        <is>
          <t>Current</t>
        </is>
      </c>
      <c r="B38" s="13" t="inlineStr">
        <is>
          <t>2026/02/05</t>
        </is>
      </c>
      <c r="C38" s="12" t="inlineStr">
        <is>
          <t>JV-26004</t>
        </is>
      </c>
      <c r="D38" s="12" t="inlineStr">
        <is>
          <t>購買部</t>
        </is>
      </c>
      <c r="E38" s="12" t="inlineStr">
        <is>
          <t>製品A</t>
        </is>
      </c>
      <c r="F38" s="12" t="inlineStr">
        <is>
          <t>PJ-A</t>
        </is>
      </c>
      <c r="G38" s="12" t="inlineStr">
        <is>
          <t>5110</t>
        </is>
      </c>
      <c r="H38" s="12" t="inlineStr">
        <is>
          <t>売上原価</t>
        </is>
      </c>
      <c r="I38" s="12" t="inlineStr">
        <is>
          <t>2110</t>
        </is>
      </c>
      <c r="J38" s="12" t="inlineStr">
        <is>
          <t>買掛金</t>
        </is>
      </c>
      <c r="K38" s="14" t="n">
        <v>22000000</v>
      </c>
      <c r="L38" s="12" t="inlineStr">
        <is>
          <t>仕入計上</t>
        </is>
      </c>
      <c r="M38" s="12" t="inlineStr">
        <is>
          <t>仕入先A</t>
        </is>
      </c>
      <c r="N38" s="12" t="inlineStr">
        <is>
          <t>課税10%</t>
        </is>
      </c>
      <c r="O38" s="12" t="inlineStr">
        <is>
          <t>適格</t>
        </is>
      </c>
      <c r="P38" s="12" t="inlineStr"/>
      <c r="Q38" s="15">
        <f>IF(AND(A38&lt;&gt;"",G38&lt;&gt;"",I38&lt;&gt;"",K38&gt;0),"OK","")</f>
        <v/>
      </c>
    </row>
    <row r="39" ht="18" customHeight="1">
      <c r="A39" s="12" t="inlineStr">
        <is>
          <t>Current</t>
        </is>
      </c>
      <c r="B39" s="13" t="inlineStr">
        <is>
          <t>2026/02/20</t>
        </is>
      </c>
      <c r="C39" s="12" t="inlineStr">
        <is>
          <t>JV-26005</t>
        </is>
      </c>
      <c r="D39" s="12" t="inlineStr">
        <is>
          <t>購買部</t>
        </is>
      </c>
      <c r="E39" s="12" t="inlineStr">
        <is>
          <t>製品A</t>
        </is>
      </c>
      <c r="F39" s="12" t="inlineStr">
        <is>
          <t>PJ-A</t>
        </is>
      </c>
      <c r="G39" s="12" t="inlineStr">
        <is>
          <t>2110</t>
        </is>
      </c>
      <c r="H39" s="12" t="inlineStr">
        <is>
          <t>買掛金</t>
        </is>
      </c>
      <c r="I39" s="12" t="inlineStr">
        <is>
          <t>1110</t>
        </is>
      </c>
      <c r="J39" s="12" t="inlineStr">
        <is>
          <t>現金及び預金</t>
        </is>
      </c>
      <c r="K39" s="14" t="n">
        <v>19500000</v>
      </c>
      <c r="L39" s="12" t="inlineStr">
        <is>
          <t>買掛支払</t>
        </is>
      </c>
      <c r="M39" s="12" t="inlineStr">
        <is>
          <t>仕入先A</t>
        </is>
      </c>
      <c r="N39" s="12" t="inlineStr">
        <is>
          <t>対象外</t>
        </is>
      </c>
      <c r="O39" s="12" t="inlineStr">
        <is>
          <t>-</t>
        </is>
      </c>
      <c r="P39" s="12" t="inlineStr"/>
      <c r="Q39" s="15">
        <f>IF(AND(A39&lt;&gt;"",G39&lt;&gt;"",I39&lt;&gt;"",K39&gt;0),"OK","")</f>
        <v/>
      </c>
    </row>
    <row r="40" ht="18" customHeight="1">
      <c r="A40" s="12" t="inlineStr">
        <is>
          <t>Current</t>
        </is>
      </c>
      <c r="B40" s="13" t="inlineStr">
        <is>
          <t>2026/03/25</t>
        </is>
      </c>
      <c r="C40" s="12" t="inlineStr">
        <is>
          <t>JV-26006</t>
        </is>
      </c>
      <c r="D40" s="12" t="inlineStr">
        <is>
          <t>管理部</t>
        </is>
      </c>
      <c r="E40" s="12" t="inlineStr">
        <is>
          <t>共通</t>
        </is>
      </c>
      <c r="F40" s="12" t="inlineStr">
        <is>
          <t>ADM</t>
        </is>
      </c>
      <c r="G40" s="12" t="inlineStr">
        <is>
          <t>6120</t>
        </is>
      </c>
      <c r="H40" s="12" t="inlineStr">
        <is>
          <t>給料手当</t>
        </is>
      </c>
      <c r="I40" s="12" t="inlineStr">
        <is>
          <t>1110</t>
        </is>
      </c>
      <c r="J40" s="12" t="inlineStr">
        <is>
          <t>現金及び預金</t>
        </is>
      </c>
      <c r="K40" s="14" t="n">
        <v>7200000</v>
      </c>
      <c r="L40" s="12" t="inlineStr">
        <is>
          <t>給与支払</t>
        </is>
      </c>
      <c r="M40" s="12" t="inlineStr">
        <is>
          <t>従業員</t>
        </is>
      </c>
      <c r="N40" s="12" t="inlineStr">
        <is>
          <t>対象外</t>
        </is>
      </c>
      <c r="O40" s="12" t="inlineStr">
        <is>
          <t>-</t>
        </is>
      </c>
      <c r="P40" s="12" t="inlineStr"/>
      <c r="Q40" s="15">
        <f>IF(AND(A40&lt;&gt;"",G40&lt;&gt;"",I40&lt;&gt;"",K40&gt;0),"OK","")</f>
        <v/>
      </c>
    </row>
    <row r="41" ht="18" customHeight="1">
      <c r="A41" s="12" t="inlineStr">
        <is>
          <t>Current</t>
        </is>
      </c>
      <c r="B41" s="13" t="inlineStr">
        <is>
          <t>2026/03/31</t>
        </is>
      </c>
      <c r="C41" s="12" t="inlineStr">
        <is>
          <t>JV-26007</t>
        </is>
      </c>
      <c r="D41" s="12" t="inlineStr">
        <is>
          <t>管理部</t>
        </is>
      </c>
      <c r="E41" s="12" t="inlineStr">
        <is>
          <t>共通</t>
        </is>
      </c>
      <c r="F41" s="12" t="inlineStr">
        <is>
          <t>ADM</t>
        </is>
      </c>
      <c r="G41" s="12" t="inlineStr">
        <is>
          <t>6130</t>
        </is>
      </c>
      <c r="H41" s="12" t="inlineStr">
        <is>
          <t>賞与</t>
        </is>
      </c>
      <c r="I41" s="12" t="inlineStr">
        <is>
          <t>2190</t>
        </is>
      </c>
      <c r="J41" s="12" t="inlineStr">
        <is>
          <t>賞与引当金</t>
        </is>
      </c>
      <c r="K41" s="14" t="n">
        <v>950000</v>
      </c>
      <c r="L41" s="12" t="inlineStr">
        <is>
          <t>賞与引当</t>
        </is>
      </c>
      <c r="M41" s="12" t="inlineStr">
        <is>
          <t>従業員</t>
        </is>
      </c>
      <c r="N41" s="12" t="inlineStr">
        <is>
          <t>対象外</t>
        </is>
      </c>
      <c r="O41" s="12" t="inlineStr">
        <is>
          <t>-</t>
        </is>
      </c>
      <c r="P41" s="12" t="inlineStr"/>
      <c r="Q41" s="15">
        <f>IF(AND(A41&lt;&gt;"",G41&lt;&gt;"",I41&lt;&gt;"",K41&gt;0),"OK","")</f>
        <v/>
      </c>
    </row>
    <row r="42" ht="18" customHeight="1">
      <c r="A42" s="12" t="inlineStr">
        <is>
          <t>Current</t>
        </is>
      </c>
      <c r="B42" s="13" t="inlineStr">
        <is>
          <t>2026/04/05</t>
        </is>
      </c>
      <c r="C42" s="12" t="inlineStr">
        <is>
          <t>JV-26008</t>
        </is>
      </c>
      <c r="D42" s="12" t="inlineStr">
        <is>
          <t>営業部</t>
        </is>
      </c>
      <c r="E42" s="12" t="inlineStr">
        <is>
          <t>共通</t>
        </is>
      </c>
      <c r="F42" s="12" t="inlineStr">
        <is>
          <t>SAL</t>
        </is>
      </c>
      <c r="G42" s="12" t="inlineStr">
        <is>
          <t>6140</t>
        </is>
      </c>
      <c r="H42" s="12" t="inlineStr">
        <is>
          <t>福利厚生費</t>
        </is>
      </c>
      <c r="I42" s="12" t="inlineStr">
        <is>
          <t>1110</t>
        </is>
      </c>
      <c r="J42" s="12" t="inlineStr">
        <is>
          <t>現金及び預金</t>
        </is>
      </c>
      <c r="K42" s="14" t="n">
        <v>850000</v>
      </c>
      <c r="L42" s="12" t="inlineStr">
        <is>
          <t>福利厚生費支払</t>
        </is>
      </c>
      <c r="M42" s="12" t="inlineStr">
        <is>
          <t>福利厚生業者</t>
        </is>
      </c>
      <c r="N42" s="12" t="inlineStr">
        <is>
          <t>課税10%</t>
        </is>
      </c>
      <c r="O42" s="12" t="inlineStr">
        <is>
          <t>適格</t>
        </is>
      </c>
      <c r="P42" s="12" t="inlineStr"/>
      <c r="Q42" s="15">
        <f>IF(AND(A42&lt;&gt;"",G42&lt;&gt;"",I42&lt;&gt;"",K42&gt;0),"OK","")</f>
        <v/>
      </c>
    </row>
    <row r="43" ht="18" customHeight="1">
      <c r="A43" s="12" t="inlineStr">
        <is>
          <t>Current</t>
        </is>
      </c>
      <c r="B43" s="13" t="inlineStr">
        <is>
          <t>2026/04/12</t>
        </is>
      </c>
      <c r="C43" s="12" t="inlineStr">
        <is>
          <t>JV-26009</t>
        </is>
      </c>
      <c r="D43" s="12" t="inlineStr">
        <is>
          <t>営業部</t>
        </is>
      </c>
      <c r="E43" s="12" t="inlineStr">
        <is>
          <t>共通</t>
        </is>
      </c>
      <c r="F43" s="12" t="inlineStr">
        <is>
          <t>SAL</t>
        </is>
      </c>
      <c r="G43" s="12" t="inlineStr">
        <is>
          <t>6160</t>
        </is>
      </c>
      <c r="H43" s="12" t="inlineStr">
        <is>
          <t>広告宣伝費</t>
        </is>
      </c>
      <c r="I43" s="12" t="inlineStr">
        <is>
          <t>1110</t>
        </is>
      </c>
      <c r="J43" s="12" t="inlineStr">
        <is>
          <t>現金及び預金</t>
        </is>
      </c>
      <c r="K43" s="14" t="n">
        <v>1100000</v>
      </c>
      <c r="L43" s="12" t="inlineStr">
        <is>
          <t>広告費支払</t>
        </is>
      </c>
      <c r="M43" s="12" t="inlineStr">
        <is>
          <t>広告代理店</t>
        </is>
      </c>
      <c r="N43" s="12" t="inlineStr">
        <is>
          <t>課税10%</t>
        </is>
      </c>
      <c r="O43" s="12" t="inlineStr">
        <is>
          <t>適格</t>
        </is>
      </c>
      <c r="P43" s="12" t="inlineStr"/>
      <c r="Q43" s="15">
        <f>IF(AND(A43&lt;&gt;"",G43&lt;&gt;"",I43&lt;&gt;"",K43&gt;0),"OK","")</f>
        <v/>
      </c>
    </row>
    <row r="44" ht="18" customHeight="1">
      <c r="A44" s="12" t="inlineStr">
        <is>
          <t>Current</t>
        </is>
      </c>
      <c r="B44" s="13" t="inlineStr">
        <is>
          <t>2026/04/20</t>
        </is>
      </c>
      <c r="C44" s="12" t="inlineStr">
        <is>
          <t>JV-26010</t>
        </is>
      </c>
      <c r="D44" s="12" t="inlineStr">
        <is>
          <t>営業部</t>
        </is>
      </c>
      <c r="E44" s="12" t="inlineStr">
        <is>
          <t>共通</t>
        </is>
      </c>
      <c r="F44" s="12" t="inlineStr">
        <is>
          <t>SAL</t>
        </is>
      </c>
      <c r="G44" s="12" t="inlineStr">
        <is>
          <t>6180</t>
        </is>
      </c>
      <c r="H44" s="12" t="inlineStr">
        <is>
          <t>旅費交通費</t>
        </is>
      </c>
      <c r="I44" s="12" t="inlineStr">
        <is>
          <t>1110</t>
        </is>
      </c>
      <c r="J44" s="12" t="inlineStr">
        <is>
          <t>現金及び預金</t>
        </is>
      </c>
      <c r="K44" s="14" t="n">
        <v>720000</v>
      </c>
      <c r="L44" s="12" t="inlineStr">
        <is>
          <t>出張旅費</t>
        </is>
      </c>
      <c r="M44" s="12" t="inlineStr">
        <is>
          <t>社員出張</t>
        </is>
      </c>
      <c r="N44" s="12" t="inlineStr">
        <is>
          <t>対象外</t>
        </is>
      </c>
      <c r="O44" s="12" t="inlineStr">
        <is>
          <t>帳簿保存</t>
        </is>
      </c>
      <c r="P44" s="12" t="inlineStr"/>
      <c r="Q44" s="15">
        <f>IF(AND(A44&lt;&gt;"",G44&lt;&gt;"",I44&lt;&gt;"",K44&gt;0),"OK","")</f>
        <v/>
      </c>
    </row>
    <row r="45" ht="18" customHeight="1">
      <c r="A45" s="12" t="inlineStr">
        <is>
          <t>Current</t>
        </is>
      </c>
      <c r="B45" s="13" t="inlineStr">
        <is>
          <t>2026/05/10</t>
        </is>
      </c>
      <c r="C45" s="12" t="inlineStr">
        <is>
          <t>JV-26011</t>
        </is>
      </c>
      <c r="D45" s="12" t="inlineStr">
        <is>
          <t>管理部</t>
        </is>
      </c>
      <c r="E45" s="12" t="inlineStr">
        <is>
          <t>共通</t>
        </is>
      </c>
      <c r="F45" s="12" t="inlineStr">
        <is>
          <t>ADM</t>
        </is>
      </c>
      <c r="G45" s="12" t="inlineStr">
        <is>
          <t>6190</t>
        </is>
      </c>
      <c r="H45" s="12" t="inlineStr">
        <is>
          <t>通信費</t>
        </is>
      </c>
      <c r="I45" s="12" t="inlineStr">
        <is>
          <t>1110</t>
        </is>
      </c>
      <c r="J45" s="12" t="inlineStr">
        <is>
          <t>現金及び預金</t>
        </is>
      </c>
      <c r="K45" s="14" t="n">
        <v>320000</v>
      </c>
      <c r="L45" s="12" t="inlineStr">
        <is>
          <t>通信費支払</t>
        </is>
      </c>
      <c r="M45" s="12" t="inlineStr">
        <is>
          <t>通信事業者</t>
        </is>
      </c>
      <c r="N45" s="12" t="inlineStr">
        <is>
          <t>課税10%</t>
        </is>
      </c>
      <c r="O45" s="12" t="inlineStr">
        <is>
          <t>適格</t>
        </is>
      </c>
      <c r="P45" s="12" t="inlineStr"/>
      <c r="Q45" s="15">
        <f>IF(AND(A45&lt;&gt;"",G45&lt;&gt;"",I45&lt;&gt;"",K45&gt;0),"OK","")</f>
        <v/>
      </c>
    </row>
    <row r="46" ht="18" customHeight="1">
      <c r="A46" s="12" t="inlineStr">
        <is>
          <t>Current</t>
        </is>
      </c>
      <c r="B46" s="13" t="inlineStr">
        <is>
          <t>2026/05/31</t>
        </is>
      </c>
      <c r="C46" s="12" t="inlineStr">
        <is>
          <t>JV-26012</t>
        </is>
      </c>
      <c r="D46" s="12" t="inlineStr">
        <is>
          <t>管理部</t>
        </is>
      </c>
      <c r="E46" s="12" t="inlineStr">
        <is>
          <t>共通</t>
        </is>
      </c>
      <c r="F46" s="12" t="inlineStr">
        <is>
          <t>ADM</t>
        </is>
      </c>
      <c r="G46" s="12" t="inlineStr">
        <is>
          <t>6200</t>
        </is>
      </c>
      <c r="H46" s="12" t="inlineStr">
        <is>
          <t>地代家賃</t>
        </is>
      </c>
      <c r="I46" s="12" t="inlineStr">
        <is>
          <t>1110</t>
        </is>
      </c>
      <c r="J46" s="12" t="inlineStr">
        <is>
          <t>現金及び預金</t>
        </is>
      </c>
      <c r="K46" s="14" t="n">
        <v>2600000</v>
      </c>
      <c r="L46" s="12" t="inlineStr">
        <is>
          <t>オフィス賃料</t>
        </is>
      </c>
      <c r="M46" s="12" t="inlineStr">
        <is>
          <t>大家</t>
        </is>
      </c>
      <c r="N46" s="12" t="inlineStr">
        <is>
          <t>非課税</t>
        </is>
      </c>
      <c r="O46" s="12" t="inlineStr">
        <is>
          <t>-</t>
        </is>
      </c>
      <c r="P46" s="12" t="inlineStr"/>
      <c r="Q46" s="15">
        <f>IF(AND(A46&lt;&gt;"",G46&lt;&gt;"",I46&lt;&gt;"",K46&gt;0),"OK","")</f>
        <v/>
      </c>
    </row>
    <row r="47" ht="18" customHeight="1">
      <c r="A47" s="12" t="inlineStr">
        <is>
          <t>Current</t>
        </is>
      </c>
      <c r="B47" s="13" t="inlineStr">
        <is>
          <t>2026/05/31</t>
        </is>
      </c>
      <c r="C47" s="12" t="inlineStr">
        <is>
          <t>JV-26013</t>
        </is>
      </c>
      <c r="D47" s="12" t="inlineStr">
        <is>
          <t>管理部</t>
        </is>
      </c>
      <c r="E47" s="12" t="inlineStr">
        <is>
          <t>共通</t>
        </is>
      </c>
      <c r="F47" s="12" t="inlineStr">
        <is>
          <t>ADM</t>
        </is>
      </c>
      <c r="G47" s="12" t="inlineStr">
        <is>
          <t>6280</t>
        </is>
      </c>
      <c r="H47" s="12" t="inlineStr">
        <is>
          <t>水道光熱費</t>
        </is>
      </c>
      <c r="I47" s="12" t="inlineStr">
        <is>
          <t>2150</t>
        </is>
      </c>
      <c r="J47" s="12" t="inlineStr">
        <is>
          <t>未払費用</t>
        </is>
      </c>
      <c r="K47" s="14" t="n">
        <v>480000</v>
      </c>
      <c r="L47" s="12" t="inlineStr">
        <is>
          <t>水道光熱費計上</t>
        </is>
      </c>
      <c r="M47" s="12" t="inlineStr">
        <is>
          <t>インフラ業者</t>
        </is>
      </c>
      <c r="N47" s="12" t="inlineStr">
        <is>
          <t>課税10%</t>
        </is>
      </c>
      <c r="O47" s="12" t="inlineStr">
        <is>
          <t>適格</t>
        </is>
      </c>
      <c r="P47" s="12" t="inlineStr"/>
      <c r="Q47" s="15">
        <f>IF(AND(A47&lt;&gt;"",G47&lt;&gt;"",I47&lt;&gt;"",K47&gt;0),"OK","")</f>
        <v/>
      </c>
    </row>
    <row r="48" ht="18" customHeight="1">
      <c r="A48" s="12" t="inlineStr">
        <is>
          <t>Current</t>
        </is>
      </c>
      <c r="B48" s="13" t="inlineStr">
        <is>
          <t>2026/06/10</t>
        </is>
      </c>
      <c r="C48" s="12" t="inlineStr">
        <is>
          <t>JV-26014</t>
        </is>
      </c>
      <c r="D48" s="12" t="inlineStr">
        <is>
          <t>管理部</t>
        </is>
      </c>
      <c r="E48" s="12" t="inlineStr">
        <is>
          <t>共通</t>
        </is>
      </c>
      <c r="F48" s="12" t="inlineStr">
        <is>
          <t>ADM</t>
        </is>
      </c>
      <c r="G48" s="12" t="inlineStr">
        <is>
          <t>6230</t>
        </is>
      </c>
      <c r="H48" s="12" t="inlineStr">
        <is>
          <t>消耗品費</t>
        </is>
      </c>
      <c r="I48" s="12" t="inlineStr">
        <is>
          <t>1110</t>
        </is>
      </c>
      <c r="J48" s="12" t="inlineStr">
        <is>
          <t>現金及び預金</t>
        </is>
      </c>
      <c r="K48" s="14" t="n">
        <v>430000</v>
      </c>
      <c r="L48" s="12" t="inlineStr">
        <is>
          <t>備品購入</t>
        </is>
      </c>
      <c r="M48" s="12" t="inlineStr">
        <is>
          <t>文具店</t>
        </is>
      </c>
      <c r="N48" s="12" t="inlineStr">
        <is>
          <t>課税10%</t>
        </is>
      </c>
      <c r="O48" s="12" t="inlineStr">
        <is>
          <t>適格</t>
        </is>
      </c>
      <c r="P48" s="12" t="inlineStr"/>
      <c r="Q48" s="15">
        <f>IF(AND(A48&lt;&gt;"",G48&lt;&gt;"",I48&lt;&gt;"",K48&gt;0),"OK","")</f>
        <v/>
      </c>
    </row>
    <row r="49" ht="18" customHeight="1">
      <c r="A49" s="12" t="inlineStr">
        <is>
          <t>Current</t>
        </is>
      </c>
      <c r="B49" s="13" t="inlineStr">
        <is>
          <t>2026/06/20</t>
        </is>
      </c>
      <c r="C49" s="12" t="inlineStr">
        <is>
          <t>JV-26015</t>
        </is>
      </c>
      <c r="D49" s="12" t="inlineStr">
        <is>
          <t>管理部</t>
        </is>
      </c>
      <c r="E49" s="12" t="inlineStr">
        <is>
          <t>共通</t>
        </is>
      </c>
      <c r="F49" s="12" t="inlineStr">
        <is>
          <t>ADM</t>
        </is>
      </c>
      <c r="G49" s="12" t="inlineStr">
        <is>
          <t>6240</t>
        </is>
      </c>
      <c r="H49" s="12" t="inlineStr">
        <is>
          <t>支払報酬料</t>
        </is>
      </c>
      <c r="I49" s="12" t="inlineStr">
        <is>
          <t>2140</t>
        </is>
      </c>
      <c r="J49" s="12" t="inlineStr">
        <is>
          <t>未払金</t>
        </is>
      </c>
      <c r="K49" s="14" t="n">
        <v>650000</v>
      </c>
      <c r="L49" s="12" t="inlineStr">
        <is>
          <t>顧問料計上</t>
        </is>
      </c>
      <c r="M49" s="12" t="inlineStr">
        <is>
          <t>税理士</t>
        </is>
      </c>
      <c r="N49" s="12" t="inlineStr">
        <is>
          <t>対象外</t>
        </is>
      </c>
      <c r="O49" s="12" t="inlineStr">
        <is>
          <t>-</t>
        </is>
      </c>
      <c r="P49" s="12" t="inlineStr"/>
      <c r="Q49" s="15">
        <f>IF(AND(A49&lt;&gt;"",G49&lt;&gt;"",I49&lt;&gt;"",K49&gt;0),"OK","")</f>
        <v/>
      </c>
    </row>
    <row r="50" ht="18" customHeight="1">
      <c r="A50" s="12" t="inlineStr">
        <is>
          <t>Current</t>
        </is>
      </c>
      <c r="B50" s="13" t="inlineStr">
        <is>
          <t>2026/06/30</t>
        </is>
      </c>
      <c r="C50" s="12" t="inlineStr">
        <is>
          <t>JV-26016</t>
        </is>
      </c>
      <c r="D50" s="12" t="inlineStr">
        <is>
          <t>管理部</t>
        </is>
      </c>
      <c r="E50" s="12" t="inlineStr">
        <is>
          <t>共通</t>
        </is>
      </c>
      <c r="F50" s="12" t="inlineStr">
        <is>
          <t>ADM</t>
        </is>
      </c>
      <c r="G50" s="12" t="inlineStr">
        <is>
          <t>6210</t>
        </is>
      </c>
      <c r="H50" s="12" t="inlineStr">
        <is>
          <t>減価償却費</t>
        </is>
      </c>
      <c r="I50" s="12" t="inlineStr">
        <is>
          <t>1590</t>
        </is>
      </c>
      <c r="J50" s="12" t="inlineStr">
        <is>
          <t>減価償却累計額</t>
        </is>
      </c>
      <c r="K50" s="14" t="n">
        <v>3100000</v>
      </c>
      <c r="L50" s="12" t="inlineStr">
        <is>
          <t>定率/定額償却</t>
        </is>
      </c>
      <c r="M50" s="12" t="inlineStr">
        <is>
          <t>固定資産</t>
        </is>
      </c>
      <c r="N50" s="12" t="inlineStr">
        <is>
          <t>対象外</t>
        </is>
      </c>
      <c r="O50" s="12" t="inlineStr">
        <is>
          <t>-</t>
        </is>
      </c>
      <c r="P50" s="12" t="inlineStr"/>
      <c r="Q50" s="15">
        <f>IF(AND(A50&lt;&gt;"",G50&lt;&gt;"",I50&lt;&gt;"",K50&gt;0),"OK","")</f>
        <v/>
      </c>
    </row>
    <row r="51" ht="18" customHeight="1">
      <c r="A51" s="12" t="inlineStr">
        <is>
          <t>Current</t>
        </is>
      </c>
      <c r="B51" s="13" t="inlineStr">
        <is>
          <t>2026/07/10</t>
        </is>
      </c>
      <c r="C51" s="12" t="inlineStr">
        <is>
          <t>JV-26017</t>
        </is>
      </c>
      <c r="D51" s="12" t="inlineStr">
        <is>
          <t>管理部</t>
        </is>
      </c>
      <c r="E51" s="12" t="inlineStr">
        <is>
          <t>共通</t>
        </is>
      </c>
      <c r="F51" s="12" t="inlineStr">
        <is>
          <t>FIN</t>
        </is>
      </c>
      <c r="G51" s="12" t="inlineStr">
        <is>
          <t>7210</t>
        </is>
      </c>
      <c r="H51" s="12" t="inlineStr">
        <is>
          <t>支払利息</t>
        </is>
      </c>
      <c r="I51" s="12" t="inlineStr">
        <is>
          <t>1110</t>
        </is>
      </c>
      <c r="J51" s="12" t="inlineStr">
        <is>
          <t>現金及び預金</t>
        </is>
      </c>
      <c r="K51" s="14" t="n">
        <v>580000</v>
      </c>
      <c r="L51" s="12" t="inlineStr">
        <is>
          <t>借入利息支払</t>
        </is>
      </c>
      <c r="M51" s="12" t="inlineStr">
        <is>
          <t>銀行</t>
        </is>
      </c>
      <c r="N51" s="12" t="inlineStr">
        <is>
          <t>非課税</t>
        </is>
      </c>
      <c r="O51" s="12" t="inlineStr">
        <is>
          <t>-</t>
        </is>
      </c>
      <c r="P51" s="12" t="inlineStr"/>
      <c r="Q51" s="15">
        <f>IF(AND(A51&lt;&gt;"",G51&lt;&gt;"",I51&lt;&gt;"",K51&gt;0),"OK","")</f>
        <v/>
      </c>
    </row>
    <row r="52" ht="18" customHeight="1">
      <c r="A52" s="12" t="inlineStr">
        <is>
          <t>Current</t>
        </is>
      </c>
      <c r="B52" s="13" t="inlineStr">
        <is>
          <t>2026/07/20</t>
        </is>
      </c>
      <c r="C52" s="12" t="inlineStr">
        <is>
          <t>JV-26018</t>
        </is>
      </c>
      <c r="D52" s="12" t="inlineStr">
        <is>
          <t>管理部</t>
        </is>
      </c>
      <c r="E52" s="12" t="inlineStr">
        <is>
          <t>共通</t>
        </is>
      </c>
      <c r="F52" s="12" t="inlineStr">
        <is>
          <t>FIN</t>
        </is>
      </c>
      <c r="G52" s="12" t="inlineStr">
        <is>
          <t>1110</t>
        </is>
      </c>
      <c r="H52" s="12" t="inlineStr">
        <is>
          <t>現金及び預金</t>
        </is>
      </c>
      <c r="I52" s="12" t="inlineStr">
        <is>
          <t>2520</t>
        </is>
      </c>
      <c r="J52" s="12" t="inlineStr">
        <is>
          <t>長期借入金</t>
        </is>
      </c>
      <c r="K52" s="14" t="n">
        <v>5000000</v>
      </c>
      <c r="L52" s="12" t="inlineStr">
        <is>
          <t>長期借入実行</t>
        </is>
      </c>
      <c r="M52" s="12" t="inlineStr">
        <is>
          <t>銀行</t>
        </is>
      </c>
      <c r="N52" s="12" t="inlineStr">
        <is>
          <t>対象外</t>
        </is>
      </c>
      <c r="O52" s="12" t="inlineStr">
        <is>
          <t>-</t>
        </is>
      </c>
      <c r="P52" s="12" t="inlineStr"/>
      <c r="Q52" s="15">
        <f>IF(AND(A52&lt;&gt;"",G52&lt;&gt;"",I52&lt;&gt;"",K52&gt;0),"OK","")</f>
        <v/>
      </c>
    </row>
    <row r="53" ht="18" customHeight="1">
      <c r="A53" s="12" t="inlineStr">
        <is>
          <t>Current</t>
        </is>
      </c>
      <c r="B53" s="13" t="inlineStr">
        <is>
          <t>2026/08/01</t>
        </is>
      </c>
      <c r="C53" s="12" t="inlineStr">
        <is>
          <t>JV-26019</t>
        </is>
      </c>
      <c r="D53" s="12" t="inlineStr">
        <is>
          <t>開発部</t>
        </is>
      </c>
      <c r="E53" s="12" t="inlineStr">
        <is>
          <t>共通</t>
        </is>
      </c>
      <c r="F53" s="12" t="inlineStr">
        <is>
          <t>RND</t>
        </is>
      </c>
      <c r="G53" s="12" t="inlineStr">
        <is>
          <t>1530</t>
        </is>
      </c>
      <c r="H53" s="12" t="inlineStr">
        <is>
          <t>工具器具備品</t>
        </is>
      </c>
      <c r="I53" s="12" t="inlineStr">
        <is>
          <t>1110</t>
        </is>
      </c>
      <c r="J53" s="12" t="inlineStr">
        <is>
          <t>現金及び預金</t>
        </is>
      </c>
      <c r="K53" s="14" t="n">
        <v>1800000</v>
      </c>
      <c r="L53" s="12" t="inlineStr">
        <is>
          <t>備品購入</t>
        </is>
      </c>
      <c r="M53" s="12" t="inlineStr">
        <is>
          <t>ベンダー</t>
        </is>
      </c>
      <c r="N53" s="12" t="inlineStr">
        <is>
          <t>課税10%</t>
        </is>
      </c>
      <c r="O53" s="12" t="inlineStr">
        <is>
          <t>適格</t>
        </is>
      </c>
      <c r="P53" s="12" t="inlineStr"/>
      <c r="Q53" s="15">
        <f>IF(AND(A53&lt;&gt;"",G53&lt;&gt;"",I53&lt;&gt;"",K53&gt;0),"OK","")</f>
        <v/>
      </c>
    </row>
    <row r="54" ht="18" customHeight="1">
      <c r="A54" s="12" t="inlineStr">
        <is>
          <t>Current</t>
        </is>
      </c>
      <c r="B54" s="13" t="inlineStr">
        <is>
          <t>2026/09/30</t>
        </is>
      </c>
      <c r="C54" s="12" t="inlineStr">
        <is>
          <t>JV-26020</t>
        </is>
      </c>
      <c r="D54" s="12" t="inlineStr">
        <is>
          <t>管理部</t>
        </is>
      </c>
      <c r="E54" s="12" t="inlineStr">
        <is>
          <t>共通</t>
        </is>
      </c>
      <c r="F54" s="12" t="inlineStr">
        <is>
          <t>FIN</t>
        </is>
      </c>
      <c r="G54" s="12" t="inlineStr">
        <is>
          <t>9110</t>
        </is>
      </c>
      <c r="H54" s="12" t="inlineStr">
        <is>
          <t>法人税、住民税及び事業税</t>
        </is>
      </c>
      <c r="I54" s="12" t="inlineStr">
        <is>
          <t>2160</t>
        </is>
      </c>
      <c r="J54" s="12" t="inlineStr">
        <is>
          <t>未払法人税等</t>
        </is>
      </c>
      <c r="K54" s="14" t="n">
        <v>2100000</v>
      </c>
      <c r="L54" s="12" t="inlineStr">
        <is>
          <t>税金見積計上</t>
        </is>
      </c>
      <c r="M54" s="12" t="inlineStr">
        <is>
          <t>税務</t>
        </is>
      </c>
      <c r="N54" s="12" t="inlineStr">
        <is>
          <t>対象外</t>
        </is>
      </c>
      <c r="O54" s="12" t="inlineStr">
        <is>
          <t>-</t>
        </is>
      </c>
      <c r="P54" s="12" t="inlineStr"/>
      <c r="Q54" s="15">
        <f>IF(AND(A54&lt;&gt;"",G54&lt;&gt;"",I54&lt;&gt;"",K54&gt;0),"OK","")</f>
        <v/>
      </c>
    </row>
    <row r="55" ht="18" customHeight="1">
      <c r="A55" s="12" t="inlineStr">
        <is>
          <t>Current</t>
        </is>
      </c>
      <c r="B55" s="13" t="inlineStr">
        <is>
          <t>2026/10/15</t>
        </is>
      </c>
      <c r="C55" s="12" t="inlineStr">
        <is>
          <t>JV-26021</t>
        </is>
      </c>
      <c r="D55" s="12" t="inlineStr">
        <is>
          <t>管理部</t>
        </is>
      </c>
      <c r="E55" s="12" t="inlineStr">
        <is>
          <t>共通</t>
        </is>
      </c>
      <c r="F55" s="12" t="inlineStr">
        <is>
          <t>FIN</t>
        </is>
      </c>
      <c r="G55" s="12" t="inlineStr">
        <is>
          <t>1110</t>
        </is>
      </c>
      <c r="H55" s="12" t="inlineStr">
        <is>
          <t>現金及び預金</t>
        </is>
      </c>
      <c r="I55" s="12" t="inlineStr">
        <is>
          <t>7110</t>
        </is>
      </c>
      <c r="J55" s="12" t="inlineStr">
        <is>
          <t>受取利息</t>
        </is>
      </c>
      <c r="K55" s="14" t="n">
        <v>300000</v>
      </c>
      <c r="L55" s="12" t="inlineStr">
        <is>
          <t>利息入金</t>
        </is>
      </c>
      <c r="M55" s="12" t="inlineStr">
        <is>
          <t>銀行</t>
        </is>
      </c>
      <c r="N55" s="12" t="inlineStr">
        <is>
          <t>非課税</t>
        </is>
      </c>
      <c r="O55" s="12" t="inlineStr">
        <is>
          <t>-</t>
        </is>
      </c>
      <c r="P55" s="12" t="inlineStr"/>
      <c r="Q55" s="15">
        <f>IF(AND(A55&lt;&gt;"",G55&lt;&gt;"",I55&lt;&gt;"",K55&gt;0),"OK","")</f>
        <v/>
      </c>
    </row>
    <row r="56" ht="18" customHeight="1">
      <c r="A56" s="12" t="inlineStr">
        <is>
          <t>Current</t>
        </is>
      </c>
      <c r="B56" s="13" t="inlineStr">
        <is>
          <t>2026/11/05</t>
        </is>
      </c>
      <c r="C56" s="12" t="inlineStr">
        <is>
          <t>JV-26022</t>
        </is>
      </c>
      <c r="D56" s="12" t="inlineStr">
        <is>
          <t>管理部</t>
        </is>
      </c>
      <c r="E56" s="12" t="inlineStr">
        <is>
          <t>共通</t>
        </is>
      </c>
      <c r="F56" s="12" t="inlineStr">
        <is>
          <t>FIN</t>
        </is>
      </c>
      <c r="G56" s="12" t="inlineStr">
        <is>
          <t>1110</t>
        </is>
      </c>
      <c r="H56" s="12" t="inlineStr">
        <is>
          <t>現金及び預金</t>
        </is>
      </c>
      <c r="I56" s="12" t="inlineStr">
        <is>
          <t>7198</t>
        </is>
      </c>
      <c r="J56" s="12" t="inlineStr">
        <is>
          <t>雑収入</t>
        </is>
      </c>
      <c r="K56" s="14" t="n">
        <v>500000</v>
      </c>
      <c r="L56" s="12" t="inlineStr">
        <is>
          <t>雑収入</t>
        </is>
      </c>
      <c r="M56" s="12" t="inlineStr">
        <is>
          <t>その他</t>
        </is>
      </c>
      <c r="N56" s="12" t="inlineStr">
        <is>
          <t>対象外</t>
        </is>
      </c>
      <c r="O56" s="12" t="inlineStr">
        <is>
          <t>-</t>
        </is>
      </c>
      <c r="P56" s="12" t="inlineStr"/>
      <c r="Q56" s="15">
        <f>IF(AND(A56&lt;&gt;"",G56&lt;&gt;"",I56&lt;&gt;"",K56&gt;0),"OK","")</f>
        <v/>
      </c>
    </row>
    <row r="57" ht="18" customHeight="1">
      <c r="A57" s="12" t="inlineStr">
        <is>
          <t>Current</t>
        </is>
      </c>
      <c r="B57" s="13" t="inlineStr">
        <is>
          <t>2026/11/20</t>
        </is>
      </c>
      <c r="C57" s="12" t="inlineStr">
        <is>
          <t>JV-26023</t>
        </is>
      </c>
      <c r="D57" s="12" t="inlineStr">
        <is>
          <t>営業部</t>
        </is>
      </c>
      <c r="E57" s="12" t="inlineStr">
        <is>
          <t>製品B</t>
        </is>
      </c>
      <c r="F57" s="12" t="inlineStr">
        <is>
          <t>PJ-B</t>
        </is>
      </c>
      <c r="G57" s="12" t="inlineStr">
        <is>
          <t>6150</t>
        </is>
      </c>
      <c r="H57" s="12" t="inlineStr">
        <is>
          <t>販売手数料</t>
        </is>
      </c>
      <c r="I57" s="12" t="inlineStr">
        <is>
          <t>1110</t>
        </is>
      </c>
      <c r="J57" s="12" t="inlineStr">
        <is>
          <t>現金及び預金</t>
        </is>
      </c>
      <c r="K57" s="14" t="n">
        <v>600000</v>
      </c>
      <c r="L57" s="12" t="inlineStr">
        <is>
          <t>販売手数料</t>
        </is>
      </c>
      <c r="M57" s="12" t="inlineStr">
        <is>
          <t>代理店</t>
        </is>
      </c>
      <c r="N57" s="12" t="inlineStr">
        <is>
          <t>課税10%</t>
        </is>
      </c>
      <c r="O57" s="12" t="inlineStr">
        <is>
          <t>適格</t>
        </is>
      </c>
      <c r="P57" s="12" t="inlineStr"/>
      <c r="Q57" s="15">
        <f>IF(AND(A57&lt;&gt;"",G57&lt;&gt;"",I57&lt;&gt;"",K57&gt;0),"OK","")</f>
        <v/>
      </c>
    </row>
    <row r="58" ht="18" customHeight="1">
      <c r="A58" s="12" t="inlineStr">
        <is>
          <t>Current</t>
        </is>
      </c>
      <c r="B58" s="13" t="inlineStr">
        <is>
          <t>2026/11/25</t>
        </is>
      </c>
      <c r="C58" s="12" t="inlineStr">
        <is>
          <t>JV-26024</t>
        </is>
      </c>
      <c r="D58" s="12" t="inlineStr">
        <is>
          <t>開発部</t>
        </is>
      </c>
      <c r="E58" s="12" t="inlineStr">
        <is>
          <t>共通</t>
        </is>
      </c>
      <c r="F58" s="12" t="inlineStr">
        <is>
          <t>RND</t>
        </is>
      </c>
      <c r="G58" s="12" t="inlineStr">
        <is>
          <t>6290</t>
        </is>
      </c>
      <c r="H58" s="12" t="inlineStr">
        <is>
          <t>研究開発費</t>
        </is>
      </c>
      <c r="I58" s="12" t="inlineStr">
        <is>
          <t>1110</t>
        </is>
      </c>
      <c r="J58" s="12" t="inlineStr">
        <is>
          <t>現金及び預金</t>
        </is>
      </c>
      <c r="K58" s="14" t="n">
        <v>900000</v>
      </c>
      <c r="L58" s="12" t="inlineStr">
        <is>
          <t>研究開発外注</t>
        </is>
      </c>
      <c r="M58" s="12" t="inlineStr">
        <is>
          <t>外注先</t>
        </is>
      </c>
      <c r="N58" s="12" t="inlineStr">
        <is>
          <t>課税10%</t>
        </is>
      </c>
      <c r="O58" s="12" t="inlineStr">
        <is>
          <t>適格</t>
        </is>
      </c>
      <c r="P58" s="12" t="inlineStr"/>
      <c r="Q58" s="15">
        <f>IF(AND(A58&lt;&gt;"",G58&lt;&gt;"",I58&lt;&gt;"",K58&gt;0),"OK","")</f>
        <v/>
      </c>
    </row>
    <row r="59" ht="18" customHeight="1">
      <c r="A59" s="12" t="inlineStr">
        <is>
          <t>Current</t>
        </is>
      </c>
      <c r="B59" s="13" t="inlineStr">
        <is>
          <t>2026/12/01</t>
        </is>
      </c>
      <c r="C59" s="12" t="inlineStr">
        <is>
          <t>JV-26025</t>
        </is>
      </c>
      <c r="D59" s="12" t="inlineStr">
        <is>
          <t>管理部</t>
        </is>
      </c>
      <c r="E59" s="12" t="inlineStr">
        <is>
          <t>共通</t>
        </is>
      </c>
      <c r="F59" s="12" t="inlineStr">
        <is>
          <t>FIN</t>
        </is>
      </c>
      <c r="G59" s="12" t="inlineStr">
        <is>
          <t>1110</t>
        </is>
      </c>
      <c r="H59" s="12" t="inlineStr">
        <is>
          <t>現金及び預金</t>
        </is>
      </c>
      <c r="I59" s="12" t="inlineStr">
        <is>
          <t>8110</t>
        </is>
      </c>
      <c r="J59" s="12" t="inlineStr">
        <is>
          <t>固定資産売却益</t>
        </is>
      </c>
      <c r="K59" s="14" t="n">
        <v>1000000</v>
      </c>
      <c r="L59" s="12" t="inlineStr">
        <is>
          <t>固定資産売却</t>
        </is>
      </c>
      <c r="M59" s="12" t="inlineStr">
        <is>
          <t>買主</t>
        </is>
      </c>
      <c r="N59" s="12" t="inlineStr">
        <is>
          <t>対象外</t>
        </is>
      </c>
      <c r="O59" s="12" t="inlineStr">
        <is>
          <t>-</t>
        </is>
      </c>
      <c r="P59" s="12" t="inlineStr"/>
      <c r="Q59" s="15">
        <f>IF(AND(A59&lt;&gt;"",G59&lt;&gt;"",I59&lt;&gt;"",K59&gt;0),"OK","")</f>
        <v/>
      </c>
    </row>
    <row r="60" ht="18" customHeight="1">
      <c r="A60" s="12" t="inlineStr">
        <is>
          <t>Current</t>
        </is>
      </c>
      <c r="B60" s="13" t="inlineStr">
        <is>
          <t>2026/12/10</t>
        </is>
      </c>
      <c r="C60" s="12" t="inlineStr">
        <is>
          <t>JV-26026</t>
        </is>
      </c>
      <c r="D60" s="12" t="inlineStr">
        <is>
          <t>管理部</t>
        </is>
      </c>
      <c r="E60" s="12" t="inlineStr">
        <is>
          <t>共通</t>
        </is>
      </c>
      <c r="F60" s="12" t="inlineStr">
        <is>
          <t>FIN</t>
        </is>
      </c>
      <c r="G60" s="12" t="inlineStr">
        <is>
          <t>8220</t>
        </is>
      </c>
      <c r="H60" s="12" t="inlineStr">
        <is>
          <t>減損損失</t>
        </is>
      </c>
      <c r="I60" s="12" t="inlineStr">
        <is>
          <t>1530</t>
        </is>
      </c>
      <c r="J60" s="12" t="inlineStr">
        <is>
          <t>工具器具備品</t>
        </is>
      </c>
      <c r="K60" s="14" t="n">
        <v>700000</v>
      </c>
      <c r="L60" s="12" t="inlineStr">
        <is>
          <t>減損計上</t>
        </is>
      </c>
      <c r="M60" s="12" t="inlineStr">
        <is>
          <t>固定資産</t>
        </is>
      </c>
      <c r="N60" s="12" t="inlineStr">
        <is>
          <t>対象外</t>
        </is>
      </c>
      <c r="O60" s="12" t="inlineStr">
        <is>
          <t>-</t>
        </is>
      </c>
      <c r="P60" s="12" t="inlineStr"/>
      <c r="Q60" s="15">
        <f>IF(AND(A60&lt;&gt;"",G60&lt;&gt;"",I60&lt;&gt;"",K60&gt;0),"OK","")</f>
        <v/>
      </c>
    </row>
    <row r="61" ht="18" customHeight="1">
      <c r="A61" s="12" t="inlineStr">
        <is>
          <t>Current</t>
        </is>
      </c>
      <c r="B61" s="13" t="inlineStr">
        <is>
          <t>2026/12/15</t>
        </is>
      </c>
      <c r="C61" s="12" t="inlineStr">
        <is>
          <t>JV-26027</t>
        </is>
      </c>
      <c r="D61" s="12" t="inlineStr">
        <is>
          <t>営業部</t>
        </is>
      </c>
      <c r="E61" s="12" t="inlineStr">
        <is>
          <t>製品B</t>
        </is>
      </c>
      <c r="F61" s="12" t="inlineStr">
        <is>
          <t>PJ-B</t>
        </is>
      </c>
      <c r="G61" s="12" t="inlineStr">
        <is>
          <t>2170</t>
        </is>
      </c>
      <c r="H61" s="12" t="inlineStr">
        <is>
          <t>契約負債</t>
        </is>
      </c>
      <c r="I61" s="12" t="inlineStr">
        <is>
          <t>4110</t>
        </is>
      </c>
      <c r="J61" s="12" t="inlineStr">
        <is>
          <t>売上高</t>
        </is>
      </c>
      <c r="K61" s="14" t="n">
        <v>1500000</v>
      </c>
      <c r="L61" s="12" t="inlineStr">
        <is>
          <t>前受分売上計上</t>
        </is>
      </c>
      <c r="M61" s="12" t="inlineStr">
        <is>
          <t>得意先B</t>
        </is>
      </c>
      <c r="N61" s="12" t="inlineStr">
        <is>
          <t>課税10%</t>
        </is>
      </c>
      <c r="O61" s="12" t="inlineStr">
        <is>
          <t>適格</t>
        </is>
      </c>
      <c r="P61" s="12" t="inlineStr"/>
      <c r="Q61" s="15">
        <f>IF(AND(A61&lt;&gt;"",G61&lt;&gt;"",I61&lt;&gt;"",K61&gt;0),"OK","")</f>
        <v/>
      </c>
    </row>
    <row r="62" ht="18" customHeight="1">
      <c r="A62" s="12" t="inlineStr">
        <is>
          <t>Current</t>
        </is>
      </c>
      <c r="B62" s="13" t="inlineStr">
        <is>
          <t>2026/12/20</t>
        </is>
      </c>
      <c r="C62" s="12" t="inlineStr">
        <is>
          <t>JV-26028</t>
        </is>
      </c>
      <c r="D62" s="12" t="inlineStr">
        <is>
          <t>営業部</t>
        </is>
      </c>
      <c r="E62" s="12" t="inlineStr">
        <is>
          <t>製品B</t>
        </is>
      </c>
      <c r="F62" s="12" t="inlineStr">
        <is>
          <t>PJ-B</t>
        </is>
      </c>
      <c r="G62" s="12" t="inlineStr">
        <is>
          <t>1110</t>
        </is>
      </c>
      <c r="H62" s="12" t="inlineStr">
        <is>
          <t>現金及び預金</t>
        </is>
      </c>
      <c r="I62" s="12" t="inlineStr">
        <is>
          <t>2170</t>
        </is>
      </c>
      <c r="J62" s="12" t="inlineStr">
        <is>
          <t>契約負債</t>
        </is>
      </c>
      <c r="K62" s="14" t="n">
        <v>2500000</v>
      </c>
      <c r="L62" s="12" t="inlineStr">
        <is>
          <t>前受金受領</t>
        </is>
      </c>
      <c r="M62" s="12" t="inlineStr">
        <is>
          <t>得意先B</t>
        </is>
      </c>
      <c r="N62" s="12" t="inlineStr">
        <is>
          <t>対象外</t>
        </is>
      </c>
      <c r="O62" s="12" t="inlineStr">
        <is>
          <t>-</t>
        </is>
      </c>
      <c r="P62" s="12" t="inlineStr"/>
      <c r="Q62" s="15">
        <f>IF(AND(A62&lt;&gt;"",G62&lt;&gt;"",I62&lt;&gt;"",K62&gt;0),"OK","")</f>
        <v/>
      </c>
    </row>
    <row r="63" ht="18" customHeight="1">
      <c r="A63" s="12" t="inlineStr">
        <is>
          <t>Current</t>
        </is>
      </c>
      <c r="B63" s="13" t="inlineStr">
        <is>
          <t>2026/12/24</t>
        </is>
      </c>
      <c r="C63" s="12" t="inlineStr">
        <is>
          <t>JV-26029</t>
        </is>
      </c>
      <c r="D63" s="12" t="inlineStr">
        <is>
          <t>管理部</t>
        </is>
      </c>
      <c r="E63" s="12" t="inlineStr">
        <is>
          <t>共通</t>
        </is>
      </c>
      <c r="F63" s="12" t="inlineStr">
        <is>
          <t>ADM</t>
        </is>
      </c>
      <c r="G63" s="12" t="inlineStr">
        <is>
          <t>1110</t>
        </is>
      </c>
      <c r="H63" s="12" t="inlineStr">
        <is>
          <t>現金及び預金</t>
        </is>
      </c>
      <c r="I63" s="12" t="inlineStr">
        <is>
          <t>2180</t>
        </is>
      </c>
      <c r="J63" s="12" t="inlineStr">
        <is>
          <t>預り金</t>
        </is>
      </c>
      <c r="K63" s="14" t="n">
        <v>800000</v>
      </c>
      <c r="L63" s="12" t="inlineStr">
        <is>
          <t>預り金受領</t>
        </is>
      </c>
      <c r="M63" s="12" t="inlineStr">
        <is>
          <t>その他</t>
        </is>
      </c>
      <c r="N63" s="12" t="inlineStr">
        <is>
          <t>対象外</t>
        </is>
      </c>
      <c r="O63" s="12" t="inlineStr">
        <is>
          <t>-</t>
        </is>
      </c>
      <c r="P63" s="12" t="inlineStr"/>
      <c r="Q63" s="15">
        <f>IF(AND(A63&lt;&gt;"",G63&lt;&gt;"",I63&lt;&gt;"",K63&gt;0),"OK","")</f>
        <v/>
      </c>
    </row>
    <row r="64" ht="18" customHeight="1">
      <c r="A64" s="12" t="inlineStr">
        <is>
          <t>Current</t>
        </is>
      </c>
      <c r="B64" s="13" t="inlineStr">
        <is>
          <t>2026/12/26</t>
        </is>
      </c>
      <c r="C64" s="12" t="inlineStr">
        <is>
          <t>JV-26030</t>
        </is>
      </c>
      <c r="D64" s="12" t="inlineStr">
        <is>
          <t>管理部</t>
        </is>
      </c>
      <c r="E64" s="12" t="inlineStr">
        <is>
          <t>共通</t>
        </is>
      </c>
      <c r="F64" s="12" t="inlineStr">
        <is>
          <t>FIN</t>
        </is>
      </c>
      <c r="G64" s="12" t="inlineStr">
        <is>
          <t>1110</t>
        </is>
      </c>
      <c r="H64" s="12" t="inlineStr">
        <is>
          <t>現金及び預金</t>
        </is>
      </c>
      <c r="I64" s="12" t="inlineStr">
        <is>
          <t>7120</t>
        </is>
      </c>
      <c r="J64" s="12" t="inlineStr">
        <is>
          <t>受取配当金</t>
        </is>
      </c>
      <c r="K64" s="14" t="n">
        <v>400000</v>
      </c>
      <c r="L64" s="12" t="inlineStr">
        <is>
          <t>配当受領</t>
        </is>
      </c>
      <c r="M64" s="12" t="inlineStr">
        <is>
          <t>投資先</t>
        </is>
      </c>
      <c r="N64" s="12" t="inlineStr">
        <is>
          <t>非課税</t>
        </is>
      </c>
      <c r="O64" s="12" t="inlineStr">
        <is>
          <t>-</t>
        </is>
      </c>
      <c r="P64" s="12" t="inlineStr"/>
      <c r="Q64" s="15">
        <f>IF(AND(A64&lt;&gt;"",G64&lt;&gt;"",I64&lt;&gt;"",K64&gt;0),"OK","")</f>
        <v/>
      </c>
    </row>
    <row r="65" ht="18" customHeight="1">
      <c r="A65" s="12" t="n"/>
      <c r="B65" s="13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4" t="n"/>
      <c r="L65" s="12" t="n"/>
      <c r="M65" s="12" t="n"/>
      <c r="N65" s="12" t="n"/>
      <c r="O65" s="12" t="n"/>
      <c r="P65" s="12" t="n"/>
      <c r="Q65" s="15">
        <f>IF(AND(A65&lt;&gt;"",G65&lt;&gt;"",I65&lt;&gt;"",K65&gt;0),"OK","")</f>
        <v/>
      </c>
    </row>
    <row r="66" ht="18" customHeight="1">
      <c r="A66" s="12" t="n"/>
      <c r="B66" s="13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4" t="n"/>
      <c r="L66" s="12" t="n"/>
      <c r="M66" s="12" t="n"/>
      <c r="N66" s="12" t="n"/>
      <c r="O66" s="12" t="n"/>
      <c r="P66" s="12" t="n"/>
      <c r="Q66" s="15">
        <f>IF(AND(A66&lt;&gt;"",G66&lt;&gt;"",I66&lt;&gt;"",K66&gt;0),"OK","")</f>
        <v/>
      </c>
    </row>
    <row r="67" ht="18" customHeight="1">
      <c r="A67" s="12" t="n"/>
      <c r="B67" s="13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4" t="n"/>
      <c r="L67" s="12" t="n"/>
      <c r="M67" s="12" t="n"/>
      <c r="N67" s="12" t="n"/>
      <c r="O67" s="12" t="n"/>
      <c r="P67" s="12" t="n"/>
      <c r="Q67" s="15">
        <f>IF(AND(A67&lt;&gt;"",G67&lt;&gt;"",I67&lt;&gt;"",K67&gt;0),"OK","")</f>
        <v/>
      </c>
    </row>
    <row r="68" ht="18" customHeight="1">
      <c r="A68" s="12" t="n"/>
      <c r="B68" s="13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4" t="n"/>
      <c r="L68" s="12" t="n"/>
      <c r="M68" s="12" t="n"/>
      <c r="N68" s="12" t="n"/>
      <c r="O68" s="12" t="n"/>
      <c r="P68" s="12" t="n"/>
      <c r="Q68" s="15">
        <f>IF(AND(A68&lt;&gt;"",G68&lt;&gt;"",I68&lt;&gt;"",K68&gt;0),"OK","")</f>
        <v/>
      </c>
    </row>
    <row r="69" ht="18" customHeight="1">
      <c r="A69" s="12" t="n"/>
      <c r="B69" s="13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4" t="n"/>
      <c r="L69" s="12" t="n"/>
      <c r="M69" s="12" t="n"/>
      <c r="N69" s="12" t="n"/>
      <c r="O69" s="12" t="n"/>
      <c r="P69" s="12" t="n"/>
      <c r="Q69" s="15">
        <f>IF(AND(A69&lt;&gt;"",G69&lt;&gt;"",I69&lt;&gt;"",K69&gt;0),"OK","")</f>
        <v/>
      </c>
    </row>
    <row r="70" ht="18" customHeight="1">
      <c r="A70" s="12" t="n"/>
      <c r="B70" s="13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4" t="n"/>
      <c r="L70" s="12" t="n"/>
      <c r="M70" s="12" t="n"/>
      <c r="N70" s="12" t="n"/>
      <c r="O70" s="12" t="n"/>
      <c r="P70" s="12" t="n"/>
      <c r="Q70" s="15">
        <f>IF(AND(A70&lt;&gt;"",G70&lt;&gt;"",I70&lt;&gt;"",K70&gt;0),"OK","")</f>
        <v/>
      </c>
    </row>
    <row r="71" ht="18" customHeight="1">
      <c r="A71" s="12" t="n"/>
      <c r="B71" s="13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4" t="n"/>
      <c r="L71" s="12" t="n"/>
      <c r="M71" s="12" t="n"/>
      <c r="N71" s="12" t="n"/>
      <c r="O71" s="12" t="n"/>
      <c r="P71" s="12" t="n"/>
      <c r="Q71" s="15">
        <f>IF(AND(A71&lt;&gt;"",G71&lt;&gt;"",I71&lt;&gt;"",K71&gt;0),"OK","")</f>
        <v/>
      </c>
    </row>
    <row r="72" ht="18" customHeight="1">
      <c r="A72" s="12" t="n"/>
      <c r="B72" s="13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4" t="n"/>
      <c r="L72" s="12" t="n"/>
      <c r="M72" s="12" t="n"/>
      <c r="N72" s="12" t="n"/>
      <c r="O72" s="12" t="n"/>
      <c r="P72" s="12" t="n"/>
      <c r="Q72" s="15">
        <f>IF(AND(A72&lt;&gt;"",G72&lt;&gt;"",I72&lt;&gt;"",K72&gt;0),"OK","")</f>
        <v/>
      </c>
    </row>
    <row r="73" ht="18" customHeight="1">
      <c r="A73" s="12" t="n"/>
      <c r="B73" s="13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4" t="n"/>
      <c r="L73" s="12" t="n"/>
      <c r="M73" s="12" t="n"/>
      <c r="N73" s="12" t="n"/>
      <c r="O73" s="12" t="n"/>
      <c r="P73" s="12" t="n"/>
      <c r="Q73" s="15">
        <f>IF(AND(A73&lt;&gt;"",G73&lt;&gt;"",I73&lt;&gt;"",K73&gt;0),"OK","")</f>
        <v/>
      </c>
    </row>
    <row r="74" ht="18" customHeight="1">
      <c r="A74" s="12" t="n"/>
      <c r="B74" s="13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4" t="n"/>
      <c r="L74" s="12" t="n"/>
      <c r="M74" s="12" t="n"/>
      <c r="N74" s="12" t="n"/>
      <c r="O74" s="12" t="n"/>
      <c r="P74" s="12" t="n"/>
      <c r="Q74" s="15">
        <f>IF(AND(A74&lt;&gt;"",G74&lt;&gt;"",I74&lt;&gt;"",K74&gt;0),"OK","")</f>
        <v/>
      </c>
    </row>
    <row r="75" ht="18" customHeight="1">
      <c r="A75" s="12" t="n"/>
      <c r="B75" s="13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4" t="n"/>
      <c r="L75" s="12" t="n"/>
      <c r="M75" s="12" t="n"/>
      <c r="N75" s="12" t="n"/>
      <c r="O75" s="12" t="n"/>
      <c r="P75" s="12" t="n"/>
      <c r="Q75" s="15">
        <f>IF(AND(A75&lt;&gt;"",G75&lt;&gt;"",I75&lt;&gt;"",K75&gt;0),"OK","")</f>
        <v/>
      </c>
    </row>
    <row r="76" ht="18" customHeight="1">
      <c r="A76" s="12" t="n"/>
      <c r="B76" s="13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4" t="n"/>
      <c r="L76" s="12" t="n"/>
      <c r="M76" s="12" t="n"/>
      <c r="N76" s="12" t="n"/>
      <c r="O76" s="12" t="n"/>
      <c r="P76" s="12" t="n"/>
      <c r="Q76" s="15">
        <f>IF(AND(A76&lt;&gt;"",G76&lt;&gt;"",I76&lt;&gt;"",K76&gt;0),"OK","")</f>
        <v/>
      </c>
    </row>
    <row r="77" ht="18" customHeight="1">
      <c r="A77" s="12" t="n"/>
      <c r="B77" s="13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4" t="n"/>
      <c r="L77" s="12" t="n"/>
      <c r="M77" s="12" t="n"/>
      <c r="N77" s="12" t="n"/>
      <c r="O77" s="12" t="n"/>
      <c r="P77" s="12" t="n"/>
      <c r="Q77" s="15">
        <f>IF(AND(A77&lt;&gt;"",G77&lt;&gt;"",I77&lt;&gt;"",K77&gt;0),"OK","")</f>
        <v/>
      </c>
    </row>
    <row r="78" ht="18" customHeight="1">
      <c r="A78" s="12" t="n"/>
      <c r="B78" s="13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4" t="n"/>
      <c r="L78" s="12" t="n"/>
      <c r="M78" s="12" t="n"/>
      <c r="N78" s="12" t="n"/>
      <c r="O78" s="12" t="n"/>
      <c r="P78" s="12" t="n"/>
      <c r="Q78" s="15">
        <f>IF(AND(A78&lt;&gt;"",G78&lt;&gt;"",I78&lt;&gt;"",K78&gt;0),"OK","")</f>
        <v/>
      </c>
    </row>
    <row r="79" ht="18" customHeight="1">
      <c r="A79" s="12" t="n"/>
      <c r="B79" s="13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4" t="n"/>
      <c r="L79" s="12" t="n"/>
      <c r="M79" s="12" t="n"/>
      <c r="N79" s="12" t="n"/>
      <c r="O79" s="12" t="n"/>
      <c r="P79" s="12" t="n"/>
      <c r="Q79" s="15">
        <f>IF(AND(A79&lt;&gt;"",G79&lt;&gt;"",I79&lt;&gt;"",K79&gt;0),"OK","")</f>
        <v/>
      </c>
    </row>
    <row r="80" ht="18" customHeight="1">
      <c r="A80" s="12" t="n"/>
      <c r="B80" s="13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4" t="n"/>
      <c r="L80" s="12" t="n"/>
      <c r="M80" s="12" t="n"/>
      <c r="N80" s="12" t="n"/>
      <c r="O80" s="12" t="n"/>
      <c r="P80" s="12" t="n"/>
      <c r="Q80" s="15">
        <f>IF(AND(A80&lt;&gt;"",G80&lt;&gt;"",I80&lt;&gt;"",K80&gt;0),"OK","")</f>
        <v/>
      </c>
    </row>
    <row r="81" ht="18" customHeight="1">
      <c r="A81" s="12" t="n"/>
      <c r="B81" s="13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4" t="n"/>
      <c r="L81" s="12" t="n"/>
      <c r="M81" s="12" t="n"/>
      <c r="N81" s="12" t="n"/>
      <c r="O81" s="12" t="n"/>
      <c r="P81" s="12" t="n"/>
      <c r="Q81" s="15">
        <f>IF(AND(A81&lt;&gt;"",G81&lt;&gt;"",I81&lt;&gt;"",K81&gt;0),"OK","")</f>
        <v/>
      </c>
    </row>
    <row r="82" ht="18" customHeight="1">
      <c r="A82" s="12" t="n"/>
      <c r="B82" s="13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4" t="n"/>
      <c r="L82" s="12" t="n"/>
      <c r="M82" s="12" t="n"/>
      <c r="N82" s="12" t="n"/>
      <c r="O82" s="12" t="n"/>
      <c r="P82" s="12" t="n"/>
      <c r="Q82" s="15">
        <f>IF(AND(A82&lt;&gt;"",G82&lt;&gt;"",I82&lt;&gt;"",K82&gt;0),"OK","")</f>
        <v/>
      </c>
    </row>
    <row r="83" ht="18" customHeight="1">
      <c r="A83" s="12" t="n"/>
      <c r="B83" s="13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4" t="n"/>
      <c r="L83" s="12" t="n"/>
      <c r="M83" s="12" t="n"/>
      <c r="N83" s="12" t="n"/>
      <c r="O83" s="12" t="n"/>
      <c r="P83" s="12" t="n"/>
      <c r="Q83" s="15">
        <f>IF(AND(A83&lt;&gt;"",G83&lt;&gt;"",I83&lt;&gt;"",K83&gt;0),"OK","")</f>
        <v/>
      </c>
    </row>
    <row r="84" ht="18" customHeight="1">
      <c r="A84" s="12" t="n"/>
      <c r="B84" s="13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4" t="n"/>
      <c r="L84" s="12" t="n"/>
      <c r="M84" s="12" t="n"/>
      <c r="N84" s="12" t="n"/>
      <c r="O84" s="12" t="n"/>
      <c r="P84" s="12" t="n"/>
      <c r="Q84" s="15">
        <f>IF(AND(A84&lt;&gt;"",G84&lt;&gt;"",I84&lt;&gt;"",K84&gt;0),"OK","")</f>
        <v/>
      </c>
    </row>
    <row r="85" ht="18" customHeight="1">
      <c r="A85" s="12" t="n"/>
      <c r="B85" s="13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4" t="n"/>
      <c r="L85" s="12" t="n"/>
      <c r="M85" s="12" t="n"/>
      <c r="N85" s="12" t="n"/>
      <c r="O85" s="12" t="n"/>
      <c r="P85" s="12" t="n"/>
      <c r="Q85" s="15">
        <f>IF(AND(A85&lt;&gt;"",G85&lt;&gt;"",I85&lt;&gt;"",K85&gt;0),"OK","")</f>
        <v/>
      </c>
    </row>
    <row r="86" ht="18" customHeight="1">
      <c r="A86" s="12" t="n"/>
      <c r="B86" s="13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4" t="n"/>
      <c r="L86" s="12" t="n"/>
      <c r="M86" s="12" t="n"/>
      <c r="N86" s="12" t="n"/>
      <c r="O86" s="12" t="n"/>
      <c r="P86" s="12" t="n"/>
      <c r="Q86" s="15">
        <f>IF(AND(A86&lt;&gt;"",G86&lt;&gt;"",I86&lt;&gt;"",K86&gt;0),"OK","")</f>
        <v/>
      </c>
    </row>
    <row r="87" ht="18" customHeight="1">
      <c r="A87" s="12" t="n"/>
      <c r="B87" s="13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4" t="n"/>
      <c r="L87" s="12" t="n"/>
      <c r="M87" s="12" t="n"/>
      <c r="N87" s="12" t="n"/>
      <c r="O87" s="12" t="n"/>
      <c r="P87" s="12" t="n"/>
      <c r="Q87" s="15">
        <f>IF(AND(A87&lt;&gt;"",G87&lt;&gt;"",I87&lt;&gt;"",K87&gt;0),"OK","")</f>
        <v/>
      </c>
    </row>
    <row r="88" ht="18" customHeight="1">
      <c r="A88" s="12" t="n"/>
      <c r="B88" s="13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4" t="n"/>
      <c r="L88" s="12" t="n"/>
      <c r="M88" s="12" t="n"/>
      <c r="N88" s="12" t="n"/>
      <c r="O88" s="12" t="n"/>
      <c r="P88" s="12" t="n"/>
      <c r="Q88" s="15">
        <f>IF(AND(A88&lt;&gt;"",G88&lt;&gt;"",I88&lt;&gt;"",K88&gt;0),"OK","")</f>
        <v/>
      </c>
    </row>
    <row r="89" ht="18" customHeight="1">
      <c r="A89" s="12" t="n"/>
      <c r="B89" s="13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4" t="n"/>
      <c r="L89" s="12" t="n"/>
      <c r="M89" s="12" t="n"/>
      <c r="N89" s="12" t="n"/>
      <c r="O89" s="12" t="n"/>
      <c r="P89" s="12" t="n"/>
      <c r="Q89" s="15">
        <f>IF(AND(A89&lt;&gt;"",G89&lt;&gt;"",I89&lt;&gt;"",K89&gt;0),"OK","")</f>
        <v/>
      </c>
    </row>
    <row r="90" ht="18" customHeight="1">
      <c r="A90" s="12" t="n"/>
      <c r="B90" s="13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4" t="n"/>
      <c r="L90" s="12" t="n"/>
      <c r="M90" s="12" t="n"/>
      <c r="N90" s="12" t="n"/>
      <c r="O90" s="12" t="n"/>
      <c r="P90" s="12" t="n"/>
      <c r="Q90" s="15">
        <f>IF(AND(A90&lt;&gt;"",G90&lt;&gt;"",I90&lt;&gt;"",K90&gt;0),"OK","")</f>
        <v/>
      </c>
    </row>
    <row r="91" ht="18" customHeight="1">
      <c r="A91" s="12" t="n"/>
      <c r="B91" s="13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4" t="n"/>
      <c r="L91" s="12" t="n"/>
      <c r="M91" s="12" t="n"/>
      <c r="N91" s="12" t="n"/>
      <c r="O91" s="12" t="n"/>
      <c r="P91" s="12" t="n"/>
      <c r="Q91" s="15">
        <f>IF(AND(A91&lt;&gt;"",G91&lt;&gt;"",I91&lt;&gt;"",K91&gt;0),"OK","")</f>
        <v/>
      </c>
    </row>
    <row r="92" ht="18" customHeight="1">
      <c r="A92" s="12" t="n"/>
      <c r="B92" s="13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4" t="n"/>
      <c r="L92" s="12" t="n"/>
      <c r="M92" s="12" t="n"/>
      <c r="N92" s="12" t="n"/>
      <c r="O92" s="12" t="n"/>
      <c r="P92" s="12" t="n"/>
      <c r="Q92" s="15">
        <f>IF(AND(A92&lt;&gt;"",G92&lt;&gt;"",I92&lt;&gt;"",K92&gt;0),"OK","")</f>
        <v/>
      </c>
    </row>
    <row r="93" ht="18" customHeight="1">
      <c r="A93" s="12" t="n"/>
      <c r="B93" s="13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4" t="n"/>
      <c r="L93" s="12" t="n"/>
      <c r="M93" s="12" t="n"/>
      <c r="N93" s="12" t="n"/>
      <c r="O93" s="12" t="n"/>
      <c r="P93" s="12" t="n"/>
      <c r="Q93" s="15">
        <f>IF(AND(A93&lt;&gt;"",G93&lt;&gt;"",I93&lt;&gt;"",K93&gt;0),"OK","")</f>
        <v/>
      </c>
    </row>
    <row r="94" ht="18" customHeight="1">
      <c r="A94" s="12" t="n"/>
      <c r="B94" s="13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4" t="n"/>
      <c r="L94" s="12" t="n"/>
      <c r="M94" s="12" t="n"/>
      <c r="N94" s="12" t="n"/>
      <c r="O94" s="12" t="n"/>
      <c r="P94" s="12" t="n"/>
      <c r="Q94" s="15">
        <f>IF(AND(A94&lt;&gt;"",G94&lt;&gt;"",I94&lt;&gt;"",K94&gt;0),"OK","")</f>
        <v/>
      </c>
    </row>
    <row r="95" ht="18" customHeight="1">
      <c r="A95" s="12" t="n"/>
      <c r="B95" s="13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4" t="n"/>
      <c r="L95" s="12" t="n"/>
      <c r="M95" s="12" t="n"/>
      <c r="N95" s="12" t="n"/>
      <c r="O95" s="12" t="n"/>
      <c r="P95" s="12" t="n"/>
      <c r="Q95" s="15">
        <f>IF(AND(A95&lt;&gt;"",G95&lt;&gt;"",I95&lt;&gt;"",K95&gt;0),"OK","")</f>
        <v/>
      </c>
    </row>
    <row r="96" ht="18" customHeight="1">
      <c r="A96" s="12" t="n"/>
      <c r="B96" s="13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4" t="n"/>
      <c r="L96" s="12" t="n"/>
      <c r="M96" s="12" t="n"/>
      <c r="N96" s="12" t="n"/>
      <c r="O96" s="12" t="n"/>
      <c r="P96" s="12" t="n"/>
      <c r="Q96" s="15">
        <f>IF(AND(A96&lt;&gt;"",G96&lt;&gt;"",I96&lt;&gt;"",K96&gt;0),"OK","")</f>
        <v/>
      </c>
    </row>
    <row r="97" ht="18" customHeight="1">
      <c r="A97" s="12" t="n"/>
      <c r="B97" s="13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4" t="n"/>
      <c r="L97" s="12" t="n"/>
      <c r="M97" s="12" t="n"/>
      <c r="N97" s="12" t="n"/>
      <c r="O97" s="12" t="n"/>
      <c r="P97" s="12" t="n"/>
      <c r="Q97" s="15">
        <f>IF(AND(A97&lt;&gt;"",G97&lt;&gt;"",I97&lt;&gt;"",K97&gt;0),"OK","")</f>
        <v/>
      </c>
    </row>
    <row r="98" ht="18" customHeight="1">
      <c r="A98" s="12" t="n"/>
      <c r="B98" s="13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4" t="n"/>
      <c r="L98" s="12" t="n"/>
      <c r="M98" s="12" t="n"/>
      <c r="N98" s="12" t="n"/>
      <c r="O98" s="12" t="n"/>
      <c r="P98" s="12" t="n"/>
      <c r="Q98" s="15">
        <f>IF(AND(A98&lt;&gt;"",G98&lt;&gt;"",I98&lt;&gt;"",K98&gt;0),"OK","")</f>
        <v/>
      </c>
    </row>
    <row r="99" ht="18" customHeight="1">
      <c r="A99" s="12" t="n"/>
      <c r="B99" s="13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4" t="n"/>
      <c r="L99" s="12" t="n"/>
      <c r="M99" s="12" t="n"/>
      <c r="N99" s="12" t="n"/>
      <c r="O99" s="12" t="n"/>
      <c r="P99" s="12" t="n"/>
      <c r="Q99" s="15">
        <f>IF(AND(A99&lt;&gt;"",G99&lt;&gt;"",I99&lt;&gt;"",K99&gt;0),"OK","")</f>
        <v/>
      </c>
    </row>
    <row r="100" ht="18" customHeight="1">
      <c r="A100" s="12" t="n"/>
      <c r="B100" s="13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4" t="n"/>
      <c r="L100" s="12" t="n"/>
      <c r="M100" s="12" t="n"/>
      <c r="N100" s="12" t="n"/>
      <c r="O100" s="12" t="n"/>
      <c r="P100" s="12" t="n"/>
      <c r="Q100" s="15">
        <f>IF(AND(A100&lt;&gt;"",G100&lt;&gt;"",I100&lt;&gt;"",K100&gt;0),"OK","")</f>
        <v/>
      </c>
    </row>
    <row r="101" ht="18" customHeight="1">
      <c r="A101" s="12" t="n"/>
      <c r="B101" s="13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4" t="n"/>
      <c r="L101" s="12" t="n"/>
      <c r="M101" s="12" t="n"/>
      <c r="N101" s="12" t="n"/>
      <c r="O101" s="12" t="n"/>
      <c r="P101" s="12" t="n"/>
      <c r="Q101" s="15">
        <f>IF(AND(A101&lt;&gt;"",G101&lt;&gt;"",I101&lt;&gt;"",K101&gt;0),"OK","")</f>
        <v/>
      </c>
    </row>
    <row r="102" ht="18" customHeight="1">
      <c r="A102" s="12" t="n"/>
      <c r="B102" s="13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4" t="n"/>
      <c r="L102" s="12" t="n"/>
      <c r="M102" s="12" t="n"/>
      <c r="N102" s="12" t="n"/>
      <c r="O102" s="12" t="n"/>
      <c r="P102" s="12" t="n"/>
      <c r="Q102" s="15">
        <f>IF(AND(A102&lt;&gt;"",G102&lt;&gt;"",I102&lt;&gt;"",K102&gt;0),"OK","")</f>
        <v/>
      </c>
    </row>
    <row r="103" ht="18" customHeight="1">
      <c r="A103" s="12" t="n"/>
      <c r="B103" s="13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4" t="n"/>
      <c r="L103" s="12" t="n"/>
      <c r="M103" s="12" t="n"/>
      <c r="N103" s="12" t="n"/>
      <c r="O103" s="12" t="n"/>
      <c r="P103" s="12" t="n"/>
      <c r="Q103" s="15">
        <f>IF(AND(A103&lt;&gt;"",G103&lt;&gt;"",I103&lt;&gt;"",K103&gt;0),"OK","")</f>
        <v/>
      </c>
    </row>
    <row r="104" ht="18" customHeight="1">
      <c r="A104" s="12" t="n"/>
      <c r="B104" s="13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4" t="n"/>
      <c r="L104" s="12" t="n"/>
      <c r="M104" s="12" t="n"/>
      <c r="N104" s="12" t="n"/>
      <c r="O104" s="12" t="n"/>
      <c r="P104" s="12" t="n"/>
      <c r="Q104" s="15">
        <f>IF(AND(A104&lt;&gt;"",G104&lt;&gt;"",I104&lt;&gt;"",K104&gt;0),"OK","")</f>
        <v/>
      </c>
    </row>
    <row r="105" ht="18" customHeight="1">
      <c r="A105" s="12" t="n"/>
      <c r="B105" s="13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4" t="n"/>
      <c r="L105" s="12" t="n"/>
      <c r="M105" s="12" t="n"/>
      <c r="N105" s="12" t="n"/>
      <c r="O105" s="12" t="n"/>
      <c r="P105" s="12" t="n"/>
      <c r="Q105" s="15">
        <f>IF(AND(A105&lt;&gt;"",G105&lt;&gt;"",I105&lt;&gt;"",K105&gt;0),"OK","")</f>
        <v/>
      </c>
    </row>
    <row r="106" ht="18" customHeight="1">
      <c r="A106" s="12" t="n"/>
      <c r="B106" s="13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4" t="n"/>
      <c r="L106" s="12" t="n"/>
      <c r="M106" s="12" t="n"/>
      <c r="N106" s="12" t="n"/>
      <c r="O106" s="12" t="n"/>
      <c r="P106" s="12" t="n"/>
      <c r="Q106" s="15">
        <f>IF(AND(A106&lt;&gt;"",G106&lt;&gt;"",I106&lt;&gt;"",K106&gt;0),"OK","")</f>
        <v/>
      </c>
    </row>
    <row r="107" ht="18" customHeight="1">
      <c r="A107" s="12" t="n"/>
      <c r="B107" s="13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4" t="n"/>
      <c r="L107" s="12" t="n"/>
      <c r="M107" s="12" t="n"/>
      <c r="N107" s="12" t="n"/>
      <c r="O107" s="12" t="n"/>
      <c r="P107" s="12" t="n"/>
      <c r="Q107" s="15">
        <f>IF(AND(A107&lt;&gt;"",G107&lt;&gt;"",I107&lt;&gt;"",K107&gt;0),"OK","")</f>
        <v/>
      </c>
    </row>
    <row r="108" ht="18" customHeight="1">
      <c r="A108" s="12" t="n"/>
      <c r="B108" s="13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4" t="n"/>
      <c r="L108" s="12" t="n"/>
      <c r="M108" s="12" t="n"/>
      <c r="N108" s="12" t="n"/>
      <c r="O108" s="12" t="n"/>
      <c r="P108" s="12" t="n"/>
      <c r="Q108" s="15">
        <f>IF(AND(A108&lt;&gt;"",G108&lt;&gt;"",I108&lt;&gt;"",K108&gt;0),"OK","")</f>
        <v/>
      </c>
    </row>
    <row r="109" ht="18" customHeight="1">
      <c r="A109" s="12" t="n"/>
      <c r="B109" s="13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4" t="n"/>
      <c r="L109" s="12" t="n"/>
      <c r="M109" s="12" t="n"/>
      <c r="N109" s="12" t="n"/>
      <c r="O109" s="12" t="n"/>
      <c r="P109" s="12" t="n"/>
      <c r="Q109" s="15">
        <f>IF(AND(A109&lt;&gt;"",G109&lt;&gt;"",I109&lt;&gt;"",K109&gt;0),"OK","")</f>
        <v/>
      </c>
    </row>
    <row r="110" ht="18" customHeight="1">
      <c r="A110" s="12" t="n"/>
      <c r="B110" s="13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4" t="n"/>
      <c r="L110" s="12" t="n"/>
      <c r="M110" s="12" t="n"/>
      <c r="N110" s="12" t="n"/>
      <c r="O110" s="12" t="n"/>
      <c r="P110" s="12" t="n"/>
      <c r="Q110" s="15">
        <f>IF(AND(A110&lt;&gt;"",G110&lt;&gt;"",I110&lt;&gt;"",K110&gt;0),"OK","")</f>
        <v/>
      </c>
    </row>
    <row r="111" ht="18" customHeight="1">
      <c r="A111" s="12" t="n"/>
      <c r="B111" s="13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4" t="n"/>
      <c r="L111" s="12" t="n"/>
      <c r="M111" s="12" t="n"/>
      <c r="N111" s="12" t="n"/>
      <c r="O111" s="12" t="n"/>
      <c r="P111" s="12" t="n"/>
      <c r="Q111" s="15">
        <f>IF(AND(A111&lt;&gt;"",G111&lt;&gt;"",I111&lt;&gt;"",K111&gt;0),"OK","")</f>
        <v/>
      </c>
    </row>
    <row r="112" ht="18" customHeight="1">
      <c r="A112" s="12" t="n"/>
      <c r="B112" s="13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4" t="n"/>
      <c r="L112" s="12" t="n"/>
      <c r="M112" s="12" t="n"/>
      <c r="N112" s="12" t="n"/>
      <c r="O112" s="12" t="n"/>
      <c r="P112" s="12" t="n"/>
      <c r="Q112" s="15">
        <f>IF(AND(A112&lt;&gt;"",G112&lt;&gt;"",I112&lt;&gt;"",K112&gt;0),"OK","")</f>
        <v/>
      </c>
    </row>
    <row r="113" ht="18" customHeight="1">
      <c r="A113" s="12" t="n"/>
      <c r="B113" s="13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4" t="n"/>
      <c r="L113" s="12" t="n"/>
      <c r="M113" s="12" t="n"/>
      <c r="N113" s="12" t="n"/>
      <c r="O113" s="12" t="n"/>
      <c r="P113" s="12" t="n"/>
      <c r="Q113" s="15">
        <f>IF(AND(A113&lt;&gt;"",G113&lt;&gt;"",I113&lt;&gt;"",K113&gt;0),"OK","")</f>
        <v/>
      </c>
    </row>
    <row r="114" ht="18" customHeight="1">
      <c r="A114" s="12" t="n"/>
      <c r="B114" s="13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4" t="n"/>
      <c r="L114" s="12" t="n"/>
      <c r="M114" s="12" t="n"/>
      <c r="N114" s="12" t="n"/>
      <c r="O114" s="12" t="n"/>
      <c r="P114" s="12" t="n"/>
      <c r="Q114" s="15">
        <f>IF(AND(A114&lt;&gt;"",G114&lt;&gt;"",I114&lt;&gt;"",K114&gt;0),"OK","")</f>
        <v/>
      </c>
    </row>
    <row r="115" ht="18" customHeight="1">
      <c r="A115" s="12" t="n"/>
      <c r="B115" s="13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4" t="n"/>
      <c r="L115" s="12" t="n"/>
      <c r="M115" s="12" t="n"/>
      <c r="N115" s="12" t="n"/>
      <c r="O115" s="12" t="n"/>
      <c r="P115" s="12" t="n"/>
      <c r="Q115" s="15">
        <f>IF(AND(A115&lt;&gt;"",G115&lt;&gt;"",I115&lt;&gt;"",K115&gt;0),"OK","")</f>
        <v/>
      </c>
    </row>
    <row r="116" ht="18" customHeight="1">
      <c r="A116" s="12" t="n"/>
      <c r="B116" s="13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4" t="n"/>
      <c r="L116" s="12" t="n"/>
      <c r="M116" s="12" t="n"/>
      <c r="N116" s="12" t="n"/>
      <c r="O116" s="12" t="n"/>
      <c r="P116" s="12" t="n"/>
      <c r="Q116" s="15">
        <f>IF(AND(A116&lt;&gt;"",G116&lt;&gt;"",I116&lt;&gt;"",K116&gt;0),"OK","")</f>
        <v/>
      </c>
    </row>
    <row r="117" ht="18" customHeight="1">
      <c r="A117" s="12" t="n"/>
      <c r="B117" s="13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4" t="n"/>
      <c r="L117" s="12" t="n"/>
      <c r="M117" s="12" t="n"/>
      <c r="N117" s="12" t="n"/>
      <c r="O117" s="12" t="n"/>
      <c r="P117" s="12" t="n"/>
      <c r="Q117" s="15">
        <f>IF(AND(A117&lt;&gt;"",G117&lt;&gt;"",I117&lt;&gt;"",K117&gt;0),"OK","")</f>
        <v/>
      </c>
    </row>
    <row r="118" ht="18" customHeight="1">
      <c r="A118" s="12" t="n"/>
      <c r="B118" s="13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4" t="n"/>
      <c r="L118" s="12" t="n"/>
      <c r="M118" s="12" t="n"/>
      <c r="N118" s="12" t="n"/>
      <c r="O118" s="12" t="n"/>
      <c r="P118" s="12" t="n"/>
      <c r="Q118" s="15">
        <f>IF(AND(A118&lt;&gt;"",G118&lt;&gt;"",I118&lt;&gt;"",K118&gt;0),"OK","")</f>
        <v/>
      </c>
    </row>
    <row r="119" ht="18" customHeight="1">
      <c r="A119" s="12" t="n"/>
      <c r="B119" s="13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4" t="n"/>
      <c r="L119" s="12" t="n"/>
      <c r="M119" s="12" t="n"/>
      <c r="N119" s="12" t="n"/>
      <c r="O119" s="12" t="n"/>
      <c r="P119" s="12" t="n"/>
      <c r="Q119" s="15">
        <f>IF(AND(A119&lt;&gt;"",G119&lt;&gt;"",I119&lt;&gt;"",K119&gt;0),"OK","")</f>
        <v/>
      </c>
    </row>
    <row r="120" ht="18" customHeight="1">
      <c r="A120" s="12" t="n"/>
      <c r="B120" s="13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4" t="n"/>
      <c r="L120" s="12" t="n"/>
      <c r="M120" s="12" t="n"/>
      <c r="N120" s="12" t="n"/>
      <c r="O120" s="12" t="n"/>
      <c r="P120" s="12" t="n"/>
      <c r="Q120" s="15">
        <f>IF(AND(A120&lt;&gt;"",G120&lt;&gt;"",I120&lt;&gt;"",K120&gt;0),"OK","")</f>
        <v/>
      </c>
    </row>
    <row r="121" ht="18" customHeight="1">
      <c r="A121" s="12" t="n"/>
      <c r="B121" s="13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4" t="n"/>
      <c r="L121" s="12" t="n"/>
      <c r="M121" s="12" t="n"/>
      <c r="N121" s="12" t="n"/>
      <c r="O121" s="12" t="n"/>
      <c r="P121" s="12" t="n"/>
      <c r="Q121" s="15">
        <f>IF(AND(A121&lt;&gt;"",G121&lt;&gt;"",I121&lt;&gt;"",K121&gt;0),"OK","")</f>
        <v/>
      </c>
    </row>
    <row r="122" ht="18" customHeight="1">
      <c r="A122" s="12" t="n"/>
      <c r="B122" s="13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4" t="n"/>
      <c r="L122" s="12" t="n"/>
      <c r="M122" s="12" t="n"/>
      <c r="N122" s="12" t="n"/>
      <c r="O122" s="12" t="n"/>
      <c r="P122" s="12" t="n"/>
      <c r="Q122" s="15">
        <f>IF(AND(A122&lt;&gt;"",G122&lt;&gt;"",I122&lt;&gt;"",K122&gt;0),"OK","")</f>
        <v/>
      </c>
    </row>
    <row r="123" ht="18" customHeight="1">
      <c r="A123" s="12" t="n"/>
      <c r="B123" s="13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4" t="n"/>
      <c r="L123" s="12" t="n"/>
      <c r="M123" s="12" t="n"/>
      <c r="N123" s="12" t="n"/>
      <c r="O123" s="12" t="n"/>
      <c r="P123" s="12" t="n"/>
      <c r="Q123" s="15">
        <f>IF(AND(A123&lt;&gt;"",G123&lt;&gt;"",I123&lt;&gt;"",K123&gt;0),"OK","")</f>
        <v/>
      </c>
    </row>
    <row r="124" ht="18" customHeight="1">
      <c r="A124" s="12" t="n"/>
      <c r="B124" s="13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4" t="n"/>
      <c r="L124" s="12" t="n"/>
      <c r="M124" s="12" t="n"/>
      <c r="N124" s="12" t="n"/>
      <c r="O124" s="12" t="n"/>
      <c r="P124" s="12" t="n"/>
      <c r="Q124" s="15">
        <f>IF(AND(A124&lt;&gt;"",G124&lt;&gt;"",I124&lt;&gt;"",K124&gt;0),"OK","")</f>
        <v/>
      </c>
    </row>
    <row r="125" ht="18" customHeight="1">
      <c r="A125" s="12" t="n"/>
      <c r="B125" s="13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4" t="n"/>
      <c r="L125" s="12" t="n"/>
      <c r="M125" s="12" t="n"/>
      <c r="N125" s="12" t="n"/>
      <c r="O125" s="12" t="n"/>
      <c r="P125" s="12" t="n"/>
      <c r="Q125" s="15">
        <f>IF(AND(A125&lt;&gt;"",G125&lt;&gt;"",I125&lt;&gt;"",K125&gt;0),"OK","")</f>
        <v/>
      </c>
    </row>
    <row r="126" ht="18" customHeight="1">
      <c r="A126" s="12" t="n"/>
      <c r="B126" s="13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4" t="n"/>
      <c r="L126" s="12" t="n"/>
      <c r="M126" s="12" t="n"/>
      <c r="N126" s="12" t="n"/>
      <c r="O126" s="12" t="n"/>
      <c r="P126" s="12" t="n"/>
      <c r="Q126" s="15">
        <f>IF(AND(A126&lt;&gt;"",G126&lt;&gt;"",I126&lt;&gt;"",K126&gt;0),"OK","")</f>
        <v/>
      </c>
    </row>
    <row r="127" ht="18" customHeight="1">
      <c r="A127" s="12" t="n"/>
      <c r="B127" s="13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4" t="n"/>
      <c r="L127" s="12" t="n"/>
      <c r="M127" s="12" t="n"/>
      <c r="N127" s="12" t="n"/>
      <c r="O127" s="12" t="n"/>
      <c r="P127" s="12" t="n"/>
      <c r="Q127" s="15">
        <f>IF(AND(A127&lt;&gt;"",G127&lt;&gt;"",I127&lt;&gt;"",K127&gt;0),"OK","")</f>
        <v/>
      </c>
    </row>
    <row r="128" ht="18" customHeight="1">
      <c r="A128" s="12" t="n"/>
      <c r="B128" s="13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4" t="n"/>
      <c r="L128" s="12" t="n"/>
      <c r="M128" s="12" t="n"/>
      <c r="N128" s="12" t="n"/>
      <c r="O128" s="12" t="n"/>
      <c r="P128" s="12" t="n"/>
      <c r="Q128" s="15">
        <f>IF(AND(A128&lt;&gt;"",G128&lt;&gt;"",I128&lt;&gt;"",K128&gt;0),"OK","")</f>
        <v/>
      </c>
    </row>
    <row r="129" ht="18" customHeight="1">
      <c r="A129" s="12" t="n"/>
      <c r="B129" s="13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4" t="n"/>
      <c r="L129" s="12" t="n"/>
      <c r="M129" s="12" t="n"/>
      <c r="N129" s="12" t="n"/>
      <c r="O129" s="12" t="n"/>
      <c r="P129" s="12" t="n"/>
      <c r="Q129" s="15">
        <f>IF(AND(A129&lt;&gt;"",G129&lt;&gt;"",I129&lt;&gt;"",K129&gt;0),"OK","")</f>
        <v/>
      </c>
    </row>
    <row r="130" ht="18" customHeight="1">
      <c r="A130" s="12" t="n"/>
      <c r="B130" s="13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4" t="n"/>
      <c r="L130" s="12" t="n"/>
      <c r="M130" s="12" t="n"/>
      <c r="N130" s="12" t="n"/>
      <c r="O130" s="12" t="n"/>
      <c r="P130" s="12" t="n"/>
      <c r="Q130" s="15">
        <f>IF(AND(A130&lt;&gt;"",G130&lt;&gt;"",I130&lt;&gt;"",K130&gt;0),"OK","")</f>
        <v/>
      </c>
    </row>
    <row r="131" ht="18" customHeight="1">
      <c r="A131" s="12" t="n"/>
      <c r="B131" s="13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4" t="n"/>
      <c r="L131" s="12" t="n"/>
      <c r="M131" s="12" t="n"/>
      <c r="N131" s="12" t="n"/>
      <c r="O131" s="12" t="n"/>
      <c r="P131" s="12" t="n"/>
      <c r="Q131" s="15">
        <f>IF(AND(A131&lt;&gt;"",G131&lt;&gt;"",I131&lt;&gt;"",K131&gt;0),"OK","")</f>
        <v/>
      </c>
    </row>
    <row r="132" ht="18" customHeight="1">
      <c r="A132" s="12" t="n"/>
      <c r="B132" s="13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4" t="n"/>
      <c r="L132" s="12" t="n"/>
      <c r="M132" s="12" t="n"/>
      <c r="N132" s="12" t="n"/>
      <c r="O132" s="12" t="n"/>
      <c r="P132" s="12" t="n"/>
      <c r="Q132" s="15">
        <f>IF(AND(A132&lt;&gt;"",G132&lt;&gt;"",I132&lt;&gt;"",K132&gt;0),"OK","")</f>
        <v/>
      </c>
    </row>
    <row r="133" ht="18" customHeight="1">
      <c r="A133" s="12" t="n"/>
      <c r="B133" s="13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4" t="n"/>
      <c r="L133" s="12" t="n"/>
      <c r="M133" s="12" t="n"/>
      <c r="N133" s="12" t="n"/>
      <c r="O133" s="12" t="n"/>
      <c r="P133" s="12" t="n"/>
      <c r="Q133" s="15">
        <f>IF(AND(A133&lt;&gt;"",G133&lt;&gt;"",I133&lt;&gt;"",K133&gt;0),"OK","")</f>
        <v/>
      </c>
    </row>
    <row r="134" ht="18" customHeight="1">
      <c r="A134" s="12" t="n"/>
      <c r="B134" s="13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4" t="n"/>
      <c r="L134" s="12" t="n"/>
      <c r="M134" s="12" t="n"/>
      <c r="N134" s="12" t="n"/>
      <c r="O134" s="12" t="n"/>
      <c r="P134" s="12" t="n"/>
      <c r="Q134" s="15">
        <f>IF(AND(A134&lt;&gt;"",G134&lt;&gt;"",I134&lt;&gt;"",K134&gt;0),"OK","")</f>
        <v/>
      </c>
    </row>
    <row r="135" ht="18" customHeight="1">
      <c r="A135" s="12" t="n"/>
      <c r="B135" s="13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4" t="n"/>
      <c r="L135" s="12" t="n"/>
      <c r="M135" s="12" t="n"/>
      <c r="N135" s="12" t="n"/>
      <c r="O135" s="12" t="n"/>
      <c r="P135" s="12" t="n"/>
      <c r="Q135" s="15">
        <f>IF(AND(A135&lt;&gt;"",G135&lt;&gt;"",I135&lt;&gt;"",K135&gt;0),"OK","")</f>
        <v/>
      </c>
    </row>
    <row r="136" ht="18" customHeight="1">
      <c r="A136" s="12" t="n"/>
      <c r="B136" s="13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4" t="n"/>
      <c r="L136" s="12" t="n"/>
      <c r="M136" s="12" t="n"/>
      <c r="N136" s="12" t="n"/>
      <c r="O136" s="12" t="n"/>
      <c r="P136" s="12" t="n"/>
      <c r="Q136" s="15">
        <f>IF(AND(A136&lt;&gt;"",G136&lt;&gt;"",I136&lt;&gt;"",K136&gt;0),"OK","")</f>
        <v/>
      </c>
    </row>
    <row r="137" ht="18" customHeight="1">
      <c r="A137" s="12" t="n"/>
      <c r="B137" s="13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4" t="n"/>
      <c r="L137" s="12" t="n"/>
      <c r="M137" s="12" t="n"/>
      <c r="N137" s="12" t="n"/>
      <c r="O137" s="12" t="n"/>
      <c r="P137" s="12" t="n"/>
      <c r="Q137" s="15">
        <f>IF(AND(A137&lt;&gt;"",G137&lt;&gt;"",I137&lt;&gt;"",K137&gt;0),"OK","")</f>
        <v/>
      </c>
    </row>
    <row r="138" ht="18" customHeight="1">
      <c r="A138" s="12" t="n"/>
      <c r="B138" s="13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4" t="n"/>
      <c r="L138" s="12" t="n"/>
      <c r="M138" s="12" t="n"/>
      <c r="N138" s="12" t="n"/>
      <c r="O138" s="12" t="n"/>
      <c r="P138" s="12" t="n"/>
      <c r="Q138" s="15">
        <f>IF(AND(A138&lt;&gt;"",G138&lt;&gt;"",I138&lt;&gt;"",K138&gt;0),"OK","")</f>
        <v/>
      </c>
    </row>
    <row r="139" ht="18" customHeight="1">
      <c r="A139" s="12" t="n"/>
      <c r="B139" s="13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4" t="n"/>
      <c r="L139" s="12" t="n"/>
      <c r="M139" s="12" t="n"/>
      <c r="N139" s="12" t="n"/>
      <c r="O139" s="12" t="n"/>
      <c r="P139" s="12" t="n"/>
      <c r="Q139" s="15">
        <f>IF(AND(A139&lt;&gt;"",G139&lt;&gt;"",I139&lt;&gt;"",K139&gt;0),"OK","")</f>
        <v/>
      </c>
    </row>
    <row r="140" ht="18" customHeight="1">
      <c r="A140" s="12" t="n"/>
      <c r="B140" s="13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4" t="n"/>
      <c r="L140" s="12" t="n"/>
      <c r="M140" s="12" t="n"/>
      <c r="N140" s="12" t="n"/>
      <c r="O140" s="12" t="n"/>
      <c r="P140" s="12" t="n"/>
      <c r="Q140" s="15">
        <f>IF(AND(A140&lt;&gt;"",G140&lt;&gt;"",I140&lt;&gt;"",K140&gt;0),"OK","")</f>
        <v/>
      </c>
    </row>
    <row r="141" ht="18" customHeight="1">
      <c r="A141" s="12" t="n"/>
      <c r="B141" s="13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4" t="n"/>
      <c r="L141" s="12" t="n"/>
      <c r="M141" s="12" t="n"/>
      <c r="N141" s="12" t="n"/>
      <c r="O141" s="12" t="n"/>
      <c r="P141" s="12" t="n"/>
      <c r="Q141" s="15">
        <f>IF(AND(A141&lt;&gt;"",G141&lt;&gt;"",I141&lt;&gt;"",K141&gt;0),"OK","")</f>
        <v/>
      </c>
    </row>
    <row r="142" ht="18" customHeight="1">
      <c r="A142" s="12" t="n"/>
      <c r="B142" s="13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4" t="n"/>
      <c r="L142" s="12" t="n"/>
      <c r="M142" s="12" t="n"/>
      <c r="N142" s="12" t="n"/>
      <c r="O142" s="12" t="n"/>
      <c r="P142" s="12" t="n"/>
      <c r="Q142" s="15">
        <f>IF(AND(A142&lt;&gt;"",G142&lt;&gt;"",I142&lt;&gt;"",K142&gt;0),"OK","")</f>
        <v/>
      </c>
    </row>
    <row r="143" ht="18" customHeight="1">
      <c r="A143" s="12" t="n"/>
      <c r="B143" s="13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4" t="n"/>
      <c r="L143" s="12" t="n"/>
      <c r="M143" s="12" t="n"/>
      <c r="N143" s="12" t="n"/>
      <c r="O143" s="12" t="n"/>
      <c r="P143" s="12" t="n"/>
      <c r="Q143" s="15">
        <f>IF(AND(A143&lt;&gt;"",G143&lt;&gt;"",I143&lt;&gt;"",K143&gt;0),"OK","")</f>
        <v/>
      </c>
    </row>
    <row r="144" ht="18" customHeight="1">
      <c r="A144" s="12" t="n"/>
      <c r="B144" s="13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4" t="n"/>
      <c r="L144" s="12" t="n"/>
      <c r="M144" s="12" t="n"/>
      <c r="N144" s="12" t="n"/>
      <c r="O144" s="12" t="n"/>
      <c r="P144" s="12" t="n"/>
      <c r="Q144" s="15">
        <f>IF(AND(A144&lt;&gt;"",G144&lt;&gt;"",I144&lt;&gt;"",K144&gt;0),"OK","")</f>
        <v/>
      </c>
    </row>
    <row r="145" ht="18" customHeight="1">
      <c r="A145" s="12" t="n"/>
      <c r="B145" s="13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4" t="n"/>
      <c r="L145" s="12" t="n"/>
      <c r="M145" s="12" t="n"/>
      <c r="N145" s="12" t="n"/>
      <c r="O145" s="12" t="n"/>
      <c r="P145" s="12" t="n"/>
      <c r="Q145" s="15">
        <f>IF(AND(A145&lt;&gt;"",G145&lt;&gt;"",I145&lt;&gt;"",K145&gt;0),"OK","")</f>
        <v/>
      </c>
    </row>
    <row r="146" ht="18" customHeight="1">
      <c r="A146" s="12" t="n"/>
      <c r="B146" s="13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4" t="n"/>
      <c r="L146" s="12" t="n"/>
      <c r="M146" s="12" t="n"/>
      <c r="N146" s="12" t="n"/>
      <c r="O146" s="12" t="n"/>
      <c r="P146" s="12" t="n"/>
      <c r="Q146" s="15">
        <f>IF(AND(A146&lt;&gt;"",G146&lt;&gt;"",I146&lt;&gt;"",K146&gt;0),"OK","")</f>
        <v/>
      </c>
    </row>
    <row r="147" ht="18" customHeight="1">
      <c r="A147" s="12" t="n"/>
      <c r="B147" s="13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4" t="n"/>
      <c r="L147" s="12" t="n"/>
      <c r="M147" s="12" t="n"/>
      <c r="N147" s="12" t="n"/>
      <c r="O147" s="12" t="n"/>
      <c r="P147" s="12" t="n"/>
      <c r="Q147" s="15">
        <f>IF(AND(A147&lt;&gt;"",G147&lt;&gt;"",I147&lt;&gt;"",K147&gt;0),"OK","")</f>
        <v/>
      </c>
    </row>
    <row r="148" ht="18" customHeight="1">
      <c r="A148" s="12" t="n"/>
      <c r="B148" s="13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4" t="n"/>
      <c r="L148" s="12" t="n"/>
      <c r="M148" s="12" t="n"/>
      <c r="N148" s="12" t="n"/>
      <c r="O148" s="12" t="n"/>
      <c r="P148" s="12" t="n"/>
      <c r="Q148" s="15">
        <f>IF(AND(A148&lt;&gt;"",G148&lt;&gt;"",I148&lt;&gt;"",K148&gt;0),"OK","")</f>
        <v/>
      </c>
    </row>
    <row r="149" ht="18" customHeight="1">
      <c r="A149" s="12" t="n"/>
      <c r="B149" s="13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4" t="n"/>
      <c r="L149" s="12" t="n"/>
      <c r="M149" s="12" t="n"/>
      <c r="N149" s="12" t="n"/>
      <c r="O149" s="12" t="n"/>
      <c r="P149" s="12" t="n"/>
      <c r="Q149" s="15">
        <f>IF(AND(A149&lt;&gt;"",G149&lt;&gt;"",I149&lt;&gt;"",K149&gt;0),"OK","")</f>
        <v/>
      </c>
    </row>
    <row r="150" ht="18" customHeight="1">
      <c r="A150" s="12" t="n"/>
      <c r="B150" s="13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4" t="n"/>
      <c r="L150" s="12" t="n"/>
      <c r="M150" s="12" t="n"/>
      <c r="N150" s="12" t="n"/>
      <c r="O150" s="12" t="n"/>
      <c r="P150" s="12" t="n"/>
      <c r="Q150" s="15">
        <f>IF(AND(A150&lt;&gt;"",G150&lt;&gt;"",I150&lt;&gt;"",K150&gt;0),"OK","")</f>
        <v/>
      </c>
    </row>
    <row r="151" ht="18" customHeight="1">
      <c r="A151" s="12" t="n"/>
      <c r="B151" s="13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4" t="n"/>
      <c r="L151" s="12" t="n"/>
      <c r="M151" s="12" t="n"/>
      <c r="N151" s="12" t="n"/>
      <c r="O151" s="12" t="n"/>
      <c r="P151" s="12" t="n"/>
      <c r="Q151" s="15">
        <f>IF(AND(A151&lt;&gt;"",G151&lt;&gt;"",I151&lt;&gt;"",K151&gt;0),"OK","")</f>
        <v/>
      </c>
    </row>
    <row r="152" ht="18" customHeight="1">
      <c r="A152" s="12" t="n"/>
      <c r="B152" s="13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4" t="n"/>
      <c r="L152" s="12" t="n"/>
      <c r="M152" s="12" t="n"/>
      <c r="N152" s="12" t="n"/>
      <c r="O152" s="12" t="n"/>
      <c r="P152" s="12" t="n"/>
      <c r="Q152" s="15">
        <f>IF(AND(A152&lt;&gt;"",G152&lt;&gt;"",I152&lt;&gt;"",K152&gt;0),"OK","")</f>
        <v/>
      </c>
    </row>
    <row r="153" ht="18" customHeight="1">
      <c r="A153" s="12" t="n"/>
      <c r="B153" s="13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4" t="n"/>
      <c r="L153" s="12" t="n"/>
      <c r="M153" s="12" t="n"/>
      <c r="N153" s="12" t="n"/>
      <c r="O153" s="12" t="n"/>
      <c r="P153" s="12" t="n"/>
      <c r="Q153" s="15">
        <f>IF(AND(A153&lt;&gt;"",G153&lt;&gt;"",I153&lt;&gt;"",K153&gt;0),"OK","")</f>
        <v/>
      </c>
    </row>
    <row r="154" ht="18" customHeight="1">
      <c r="A154" s="12" t="n"/>
      <c r="B154" s="13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4" t="n"/>
      <c r="L154" s="12" t="n"/>
      <c r="M154" s="12" t="n"/>
      <c r="N154" s="12" t="n"/>
      <c r="O154" s="12" t="n"/>
      <c r="P154" s="12" t="n"/>
      <c r="Q154" s="15">
        <f>IF(AND(A154&lt;&gt;"",G154&lt;&gt;"",I154&lt;&gt;"",K154&gt;0),"OK","")</f>
        <v/>
      </c>
    </row>
    <row r="155" ht="18" customHeight="1">
      <c r="A155" s="12" t="n"/>
      <c r="B155" s="13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4" t="n"/>
      <c r="L155" s="12" t="n"/>
      <c r="M155" s="12" t="n"/>
      <c r="N155" s="12" t="n"/>
      <c r="O155" s="12" t="n"/>
      <c r="P155" s="12" t="n"/>
      <c r="Q155" s="15">
        <f>IF(AND(A155&lt;&gt;"",G155&lt;&gt;"",I155&lt;&gt;"",K155&gt;0),"OK","")</f>
        <v/>
      </c>
    </row>
    <row r="156" ht="18" customHeight="1">
      <c r="A156" s="12" t="n"/>
      <c r="B156" s="13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4" t="n"/>
      <c r="L156" s="12" t="n"/>
      <c r="M156" s="12" t="n"/>
      <c r="N156" s="12" t="n"/>
      <c r="O156" s="12" t="n"/>
      <c r="P156" s="12" t="n"/>
      <c r="Q156" s="15">
        <f>IF(AND(A156&lt;&gt;"",G156&lt;&gt;"",I156&lt;&gt;"",K156&gt;0),"OK","")</f>
        <v/>
      </c>
    </row>
    <row r="157" ht="18" customHeight="1">
      <c r="A157" s="12" t="n"/>
      <c r="B157" s="13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4" t="n"/>
      <c r="L157" s="12" t="n"/>
      <c r="M157" s="12" t="n"/>
      <c r="N157" s="12" t="n"/>
      <c r="O157" s="12" t="n"/>
      <c r="P157" s="12" t="n"/>
      <c r="Q157" s="15">
        <f>IF(AND(A157&lt;&gt;"",G157&lt;&gt;"",I157&lt;&gt;"",K157&gt;0),"OK","")</f>
        <v/>
      </c>
    </row>
    <row r="158" ht="18" customHeight="1">
      <c r="A158" s="12" t="n"/>
      <c r="B158" s="13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4" t="n"/>
      <c r="L158" s="12" t="n"/>
      <c r="M158" s="12" t="n"/>
      <c r="N158" s="12" t="n"/>
      <c r="O158" s="12" t="n"/>
      <c r="P158" s="12" t="n"/>
      <c r="Q158" s="15">
        <f>IF(AND(A158&lt;&gt;"",G158&lt;&gt;"",I158&lt;&gt;"",K158&gt;0),"OK","")</f>
        <v/>
      </c>
    </row>
    <row r="159" ht="18" customHeight="1">
      <c r="A159" s="12" t="n"/>
      <c r="B159" s="13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4" t="n"/>
      <c r="L159" s="12" t="n"/>
      <c r="M159" s="12" t="n"/>
      <c r="N159" s="12" t="n"/>
      <c r="O159" s="12" t="n"/>
      <c r="P159" s="12" t="n"/>
      <c r="Q159" s="15">
        <f>IF(AND(A159&lt;&gt;"",G159&lt;&gt;"",I159&lt;&gt;"",K159&gt;0),"OK","")</f>
        <v/>
      </c>
    </row>
    <row r="160" ht="18" customHeight="1">
      <c r="A160" s="12" t="n"/>
      <c r="B160" s="13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4" t="n"/>
      <c r="L160" s="12" t="n"/>
      <c r="M160" s="12" t="n"/>
      <c r="N160" s="12" t="n"/>
      <c r="O160" s="12" t="n"/>
      <c r="P160" s="12" t="n"/>
      <c r="Q160" s="15">
        <f>IF(AND(A160&lt;&gt;"",G160&lt;&gt;"",I160&lt;&gt;"",K160&gt;0),"OK","")</f>
        <v/>
      </c>
    </row>
    <row r="161" ht="18" customHeight="1">
      <c r="A161" s="12" t="n"/>
      <c r="B161" s="13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4" t="n"/>
      <c r="L161" s="12" t="n"/>
      <c r="M161" s="12" t="n"/>
      <c r="N161" s="12" t="n"/>
      <c r="O161" s="12" t="n"/>
      <c r="P161" s="12" t="n"/>
      <c r="Q161" s="15">
        <f>IF(AND(A161&lt;&gt;"",G161&lt;&gt;"",I161&lt;&gt;"",K161&gt;0),"OK","")</f>
        <v/>
      </c>
    </row>
    <row r="162" ht="18" customHeight="1">
      <c r="A162" s="12" t="n"/>
      <c r="B162" s="13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4" t="n"/>
      <c r="L162" s="12" t="n"/>
      <c r="M162" s="12" t="n"/>
      <c r="N162" s="12" t="n"/>
      <c r="O162" s="12" t="n"/>
      <c r="P162" s="12" t="n"/>
      <c r="Q162" s="15">
        <f>IF(AND(A162&lt;&gt;"",G162&lt;&gt;"",I162&lt;&gt;"",K162&gt;0),"OK","")</f>
        <v/>
      </c>
    </row>
    <row r="163" ht="18" customHeight="1">
      <c r="A163" s="12" t="n"/>
      <c r="B163" s="13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4" t="n"/>
      <c r="L163" s="12" t="n"/>
      <c r="M163" s="12" t="n"/>
      <c r="N163" s="12" t="n"/>
      <c r="O163" s="12" t="n"/>
      <c r="P163" s="12" t="n"/>
      <c r="Q163" s="15">
        <f>IF(AND(A163&lt;&gt;"",G163&lt;&gt;"",I163&lt;&gt;"",K163&gt;0),"OK","")</f>
        <v/>
      </c>
    </row>
    <row r="164" ht="18" customHeight="1">
      <c r="A164" s="12" t="n"/>
      <c r="B164" s="13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4" t="n"/>
      <c r="L164" s="12" t="n"/>
      <c r="M164" s="12" t="n"/>
      <c r="N164" s="12" t="n"/>
      <c r="O164" s="12" t="n"/>
      <c r="P164" s="12" t="n"/>
      <c r="Q164" s="15">
        <f>IF(AND(A164&lt;&gt;"",G164&lt;&gt;"",I164&lt;&gt;"",K164&gt;0),"OK","")</f>
        <v/>
      </c>
    </row>
    <row r="165" ht="18" customHeight="1">
      <c r="A165" s="12" t="n"/>
      <c r="B165" s="13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4" t="n"/>
      <c r="L165" s="12" t="n"/>
      <c r="M165" s="12" t="n"/>
      <c r="N165" s="12" t="n"/>
      <c r="O165" s="12" t="n"/>
      <c r="P165" s="12" t="n"/>
      <c r="Q165" s="15">
        <f>IF(AND(A165&lt;&gt;"",G165&lt;&gt;"",I165&lt;&gt;"",K165&gt;0),"OK","")</f>
        <v/>
      </c>
    </row>
    <row r="166" ht="18" customHeight="1">
      <c r="A166" s="12" t="n"/>
      <c r="B166" s="13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4" t="n"/>
      <c r="L166" s="12" t="n"/>
      <c r="M166" s="12" t="n"/>
      <c r="N166" s="12" t="n"/>
      <c r="O166" s="12" t="n"/>
      <c r="P166" s="12" t="n"/>
      <c r="Q166" s="15">
        <f>IF(AND(A166&lt;&gt;"",G166&lt;&gt;"",I166&lt;&gt;"",K166&gt;0),"OK","")</f>
        <v/>
      </c>
    </row>
    <row r="167" ht="18" customHeight="1">
      <c r="A167" s="12" t="n"/>
      <c r="B167" s="13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4" t="n"/>
      <c r="L167" s="12" t="n"/>
      <c r="M167" s="12" t="n"/>
      <c r="N167" s="12" t="n"/>
      <c r="O167" s="12" t="n"/>
      <c r="P167" s="12" t="n"/>
      <c r="Q167" s="15">
        <f>IF(AND(A167&lt;&gt;"",G167&lt;&gt;"",I167&lt;&gt;"",K167&gt;0),"OK","")</f>
        <v/>
      </c>
    </row>
    <row r="168" ht="18" customHeight="1">
      <c r="A168" s="12" t="n"/>
      <c r="B168" s="13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4" t="n"/>
      <c r="L168" s="12" t="n"/>
      <c r="M168" s="12" t="n"/>
      <c r="N168" s="12" t="n"/>
      <c r="O168" s="12" t="n"/>
      <c r="P168" s="12" t="n"/>
      <c r="Q168" s="15">
        <f>IF(AND(A168&lt;&gt;"",G168&lt;&gt;"",I168&lt;&gt;"",K168&gt;0),"OK","")</f>
        <v/>
      </c>
    </row>
    <row r="169" ht="18" customHeight="1">
      <c r="A169" s="12" t="n"/>
      <c r="B169" s="13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4" t="n"/>
      <c r="L169" s="12" t="n"/>
      <c r="M169" s="12" t="n"/>
      <c r="N169" s="12" t="n"/>
      <c r="O169" s="12" t="n"/>
      <c r="P169" s="12" t="n"/>
      <c r="Q169" s="15">
        <f>IF(AND(A169&lt;&gt;"",G169&lt;&gt;"",I169&lt;&gt;"",K169&gt;0),"OK","")</f>
        <v/>
      </c>
    </row>
    <row r="170" ht="18" customHeight="1">
      <c r="A170" s="12" t="n"/>
      <c r="B170" s="13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4" t="n"/>
      <c r="L170" s="12" t="n"/>
      <c r="M170" s="12" t="n"/>
      <c r="N170" s="12" t="n"/>
      <c r="O170" s="12" t="n"/>
      <c r="P170" s="12" t="n"/>
      <c r="Q170" s="15">
        <f>IF(AND(A170&lt;&gt;"",G170&lt;&gt;"",I170&lt;&gt;"",K170&gt;0),"OK","")</f>
        <v/>
      </c>
    </row>
    <row r="171" ht="18" customHeight="1">
      <c r="A171" s="12" t="n"/>
      <c r="B171" s="13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4" t="n"/>
      <c r="L171" s="12" t="n"/>
      <c r="M171" s="12" t="n"/>
      <c r="N171" s="12" t="n"/>
      <c r="O171" s="12" t="n"/>
      <c r="P171" s="12" t="n"/>
      <c r="Q171" s="15">
        <f>IF(AND(A171&lt;&gt;"",G171&lt;&gt;"",I171&lt;&gt;"",K171&gt;0),"OK","")</f>
        <v/>
      </c>
    </row>
    <row r="172" ht="18" customHeight="1">
      <c r="A172" s="12" t="n"/>
      <c r="B172" s="13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4" t="n"/>
      <c r="L172" s="12" t="n"/>
      <c r="M172" s="12" t="n"/>
      <c r="N172" s="12" t="n"/>
      <c r="O172" s="12" t="n"/>
      <c r="P172" s="12" t="n"/>
      <c r="Q172" s="15">
        <f>IF(AND(A172&lt;&gt;"",G172&lt;&gt;"",I172&lt;&gt;"",K172&gt;0),"OK","")</f>
        <v/>
      </c>
    </row>
    <row r="173" ht="18" customHeight="1">
      <c r="A173" s="12" t="n"/>
      <c r="B173" s="13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4" t="n"/>
      <c r="L173" s="12" t="n"/>
      <c r="M173" s="12" t="n"/>
      <c r="N173" s="12" t="n"/>
      <c r="O173" s="12" t="n"/>
      <c r="P173" s="12" t="n"/>
      <c r="Q173" s="15">
        <f>IF(AND(A173&lt;&gt;"",G173&lt;&gt;"",I173&lt;&gt;"",K173&gt;0),"OK","")</f>
        <v/>
      </c>
    </row>
    <row r="174" ht="18" customHeight="1">
      <c r="A174" s="12" t="n"/>
      <c r="B174" s="13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4" t="n"/>
      <c r="L174" s="12" t="n"/>
      <c r="M174" s="12" t="n"/>
      <c r="N174" s="12" t="n"/>
      <c r="O174" s="12" t="n"/>
      <c r="P174" s="12" t="n"/>
      <c r="Q174" s="15">
        <f>IF(AND(A174&lt;&gt;"",G174&lt;&gt;"",I174&lt;&gt;"",K174&gt;0),"OK","")</f>
        <v/>
      </c>
    </row>
    <row r="175" ht="18" customHeight="1">
      <c r="A175" s="12" t="n"/>
      <c r="B175" s="13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4" t="n"/>
      <c r="L175" s="12" t="n"/>
      <c r="M175" s="12" t="n"/>
      <c r="N175" s="12" t="n"/>
      <c r="O175" s="12" t="n"/>
      <c r="P175" s="12" t="n"/>
      <c r="Q175" s="15">
        <f>IF(AND(A175&lt;&gt;"",G175&lt;&gt;"",I175&lt;&gt;"",K175&gt;0),"OK","")</f>
        <v/>
      </c>
    </row>
    <row r="176" ht="18" customHeight="1">
      <c r="A176" s="12" t="n"/>
      <c r="B176" s="13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4" t="n"/>
      <c r="L176" s="12" t="n"/>
      <c r="M176" s="12" t="n"/>
      <c r="N176" s="12" t="n"/>
      <c r="O176" s="12" t="n"/>
      <c r="P176" s="12" t="n"/>
      <c r="Q176" s="15">
        <f>IF(AND(A176&lt;&gt;"",G176&lt;&gt;"",I176&lt;&gt;"",K176&gt;0),"OK","")</f>
        <v/>
      </c>
    </row>
    <row r="177" ht="18" customHeight="1">
      <c r="A177" s="12" t="n"/>
      <c r="B177" s="13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4" t="n"/>
      <c r="L177" s="12" t="n"/>
      <c r="M177" s="12" t="n"/>
      <c r="N177" s="12" t="n"/>
      <c r="O177" s="12" t="n"/>
      <c r="P177" s="12" t="n"/>
      <c r="Q177" s="15">
        <f>IF(AND(A177&lt;&gt;"",G177&lt;&gt;"",I177&lt;&gt;"",K177&gt;0),"OK","")</f>
        <v/>
      </c>
    </row>
    <row r="178" ht="18" customHeight="1">
      <c r="A178" s="12" t="n"/>
      <c r="B178" s="13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4" t="n"/>
      <c r="L178" s="12" t="n"/>
      <c r="M178" s="12" t="n"/>
      <c r="N178" s="12" t="n"/>
      <c r="O178" s="12" t="n"/>
      <c r="P178" s="12" t="n"/>
      <c r="Q178" s="15">
        <f>IF(AND(A178&lt;&gt;"",G178&lt;&gt;"",I178&lt;&gt;"",K178&gt;0),"OK","")</f>
        <v/>
      </c>
    </row>
    <row r="179" ht="18" customHeight="1">
      <c r="A179" s="12" t="n"/>
      <c r="B179" s="13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4" t="n"/>
      <c r="L179" s="12" t="n"/>
      <c r="M179" s="12" t="n"/>
      <c r="N179" s="12" t="n"/>
      <c r="O179" s="12" t="n"/>
      <c r="P179" s="12" t="n"/>
      <c r="Q179" s="15">
        <f>IF(AND(A179&lt;&gt;"",G179&lt;&gt;"",I179&lt;&gt;"",K179&gt;0),"OK","")</f>
        <v/>
      </c>
    </row>
    <row r="180" ht="18" customHeight="1">
      <c r="A180" s="12" t="n"/>
      <c r="B180" s="13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4" t="n"/>
      <c r="L180" s="12" t="n"/>
      <c r="M180" s="12" t="n"/>
      <c r="N180" s="12" t="n"/>
      <c r="O180" s="12" t="n"/>
      <c r="P180" s="12" t="n"/>
      <c r="Q180" s="15">
        <f>IF(AND(A180&lt;&gt;"",G180&lt;&gt;"",I180&lt;&gt;"",K180&gt;0),"OK","")</f>
        <v/>
      </c>
    </row>
    <row r="181" ht="18" customHeight="1">
      <c r="A181" s="12" t="n"/>
      <c r="B181" s="13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4" t="n"/>
      <c r="L181" s="12" t="n"/>
      <c r="M181" s="12" t="n"/>
      <c r="N181" s="12" t="n"/>
      <c r="O181" s="12" t="n"/>
      <c r="P181" s="12" t="n"/>
      <c r="Q181" s="15">
        <f>IF(AND(A181&lt;&gt;"",G181&lt;&gt;"",I181&lt;&gt;"",K181&gt;0),"OK","")</f>
        <v/>
      </c>
    </row>
    <row r="182" ht="18" customHeight="1">
      <c r="A182" s="12" t="n"/>
      <c r="B182" s="13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4" t="n"/>
      <c r="L182" s="12" t="n"/>
      <c r="M182" s="12" t="n"/>
      <c r="N182" s="12" t="n"/>
      <c r="O182" s="12" t="n"/>
      <c r="P182" s="12" t="n"/>
      <c r="Q182" s="15">
        <f>IF(AND(A182&lt;&gt;"",G182&lt;&gt;"",I182&lt;&gt;"",K182&gt;0),"OK","")</f>
        <v/>
      </c>
    </row>
    <row r="183" ht="18" customHeight="1">
      <c r="A183" s="12" t="n"/>
      <c r="B183" s="13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4" t="n"/>
      <c r="L183" s="12" t="n"/>
      <c r="M183" s="12" t="n"/>
      <c r="N183" s="12" t="n"/>
      <c r="O183" s="12" t="n"/>
      <c r="P183" s="12" t="n"/>
      <c r="Q183" s="15">
        <f>IF(AND(A183&lt;&gt;"",G183&lt;&gt;"",I183&lt;&gt;"",K183&gt;0),"OK","")</f>
        <v/>
      </c>
    </row>
    <row r="184" ht="18" customHeight="1">
      <c r="A184" s="12" t="n"/>
      <c r="B184" s="13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4" t="n"/>
      <c r="L184" s="12" t="n"/>
      <c r="M184" s="12" t="n"/>
      <c r="N184" s="12" t="n"/>
      <c r="O184" s="12" t="n"/>
      <c r="P184" s="12" t="n"/>
      <c r="Q184" s="15">
        <f>IF(AND(A184&lt;&gt;"",G184&lt;&gt;"",I184&lt;&gt;"",K184&gt;0),"OK","")</f>
        <v/>
      </c>
    </row>
  </sheetData>
  <mergeCells count="1">
    <mergeCell ref="A1:Q1"/>
  </mergeCells>
  <dataValidations count="3">
    <dataValidation sqref="A8:A184" showDropDown="0" showInputMessage="0" showErrorMessage="0" allowBlank="1" type="list">
      <formula1>"Prior,Current"</formula1>
    </dataValidation>
    <dataValidation sqref="N8:N184" showDropDown="0" showInputMessage="0" showErrorMessage="0" allowBlank="1" type="list">
      <formula1>"課税10%,軽減8%,非課税,対象外"</formula1>
    </dataValidation>
    <dataValidation sqref="O8:O184" showDropDown="0" showInputMessage="0" showErrorMessage="0" allowBlank="1" type="list">
      <formula1>"適格,帳簿保存,-"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4F81BD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2" customWidth="1" min="3" max="3"/>
    <col width="24" customWidth="1" min="4" max="4"/>
    <col width="18" customWidth="1" min="6" max="6"/>
    <col width="38" customWidth="1" min="7" max="7"/>
  </cols>
  <sheetData>
    <row r="1" ht="18" customHeight="1">
      <c r="A1" s="1" t="inlineStr">
        <is>
          <t>B/S・P/L 複式簿記 分析テンプレート</t>
        </is>
      </c>
    </row>
    <row r="2" ht="18" customHeight="1"/>
    <row r="3" ht="18" customHeight="1">
      <c r="A3" s="2" t="inlineStr">
        <is>
          <t>用途</t>
        </is>
      </c>
      <c r="B3" t="inlineStr">
        <is>
          <t>勘定科目マスター → 仕訳入力 → 試算表 → 貸借対照表 → 損益計算書 → KPI分析</t>
        </is>
      </c>
      <c r="F3" s="2" t="inlineStr">
        <is>
          <t>サイン規則</t>
        </is>
      </c>
    </row>
    <row r="4" ht="18" customHeight="1">
      <c r="A4" s="2" t="inlineStr">
        <is>
          <t>会計期間（前期）</t>
        </is>
      </c>
      <c r="B4" t="n">
        <v>2025</v>
      </c>
      <c r="C4" s="2" t="inlineStr">
        <is>
          <t>会計期間（当期）</t>
        </is>
      </c>
      <c r="D4" t="n">
        <v>2026</v>
      </c>
      <c r="F4" s="3" t="inlineStr">
        <is>
          <t>入力値は正数で入力、表示符号はマッピング側で制御</t>
        </is>
      </c>
    </row>
    <row r="5" ht="18" customHeight="1">
      <c r="A5" s="2" t="inlineStr">
        <is>
          <t>使い方</t>
        </is>
      </c>
      <c r="B5" t="inlineStr">
        <is>
          <t>1) COA_Masterで開始残高を確認  2) Journal_Inputに仕訳を追加  3) TB_Detail/BS_Form/PL_Form/KPI_Analysisを確認</t>
        </is>
      </c>
    </row>
    <row r="6" ht="18" customHeight="1">
      <c r="F6" s="2" t="inlineStr">
        <is>
          <t>重要</t>
        </is>
      </c>
    </row>
    <row r="7" ht="18" customHeight="1">
      <c r="A7" s="4" t="inlineStr">
        <is>
          <t>主要シート</t>
        </is>
      </c>
      <c r="B7" s="4" t="inlineStr">
        <is>
          <t>内容</t>
        </is>
      </c>
      <c r="C7" s="4" t="inlineStr">
        <is>
          <t>入力/計算</t>
        </is>
      </c>
      <c r="D7" s="4" t="inlineStr">
        <is>
          <t>備考</t>
        </is>
      </c>
      <c r="F7" s="3" t="inlineStr">
        <is>
          <t>・B/Sは期末残高ベース</t>
        </is>
      </c>
    </row>
    <row r="8" ht="18" customHeight="1">
      <c r="A8" s="5" t="inlineStr">
        <is>
          <t>COA_Master</t>
        </is>
      </c>
      <c r="B8" s="5" t="inlineStr">
        <is>
          <t>勘定科目マスター（96科目、B/S・P/Lマッピング含む）</t>
        </is>
      </c>
      <c r="C8" s="6" t="inlineStr">
        <is>
          <t>入力</t>
        </is>
      </c>
      <c r="D8" s="5" t="inlineStr">
        <is>
          <t>前期開始残高をここで管理</t>
        </is>
      </c>
      <c r="F8" s="3" t="inlineStr">
        <is>
          <t>・P/Lは期間損益ベース</t>
        </is>
      </c>
    </row>
    <row r="9" ht="18" customHeight="1">
      <c r="A9" s="5" t="inlineStr">
        <is>
          <t>Journal_Input</t>
        </is>
      </c>
      <c r="B9" s="5" t="inlineStr">
        <is>
          <t>複式仕訳入力。部門・セグメント・PJ付き</t>
        </is>
      </c>
      <c r="C9" s="6" t="inlineStr">
        <is>
          <t>入力</t>
        </is>
      </c>
      <c r="D9" s="5" t="inlineStr">
        <is>
          <t>借方/貸方コード・金額を入力</t>
        </is>
      </c>
      <c r="F9" s="3" t="inlineStr">
        <is>
          <t>・BSとPLは複式仕訳から連動</t>
        </is>
      </c>
    </row>
    <row r="10" ht="18" customHeight="1">
      <c r="A10" s="5" t="inlineStr">
        <is>
          <t>TB_Detail</t>
        </is>
      </c>
      <c r="B10" s="5" t="inlineStr">
        <is>
          <t>試算表詳細。仕訳から借方/貸方/残高を自動集計</t>
        </is>
      </c>
      <c r="C10" s="7" t="inlineStr">
        <is>
          <t>計算</t>
        </is>
      </c>
      <c r="D10" s="5" t="inlineStr">
        <is>
          <t>前期/当期比較</t>
        </is>
      </c>
    </row>
    <row r="11" ht="18" customHeight="1">
      <c r="A11" s="5" t="inlineStr">
        <is>
          <t>BS_Form</t>
        </is>
      </c>
      <c r="B11" s="5" t="inlineStr">
        <is>
          <t>貸借対照表（上場会社風の詳細表示）</t>
        </is>
      </c>
      <c r="C11" s="7" t="inlineStr">
        <is>
          <t>計算</t>
        </is>
      </c>
      <c r="D11" s="5" t="inlineStr">
        <is>
          <t>前期/当期/増減/構成比</t>
        </is>
      </c>
    </row>
    <row r="12" ht="18" customHeight="1">
      <c r="A12" s="5" t="inlineStr">
        <is>
          <t>PL_Form</t>
        </is>
      </c>
      <c r="B12" s="5" t="inlineStr">
        <is>
          <t>損益計算書（上場会社風の詳細表示）</t>
        </is>
      </c>
      <c r="C12" s="7" t="inlineStr">
        <is>
          <t>計算</t>
        </is>
      </c>
      <c r="D12" s="5" t="inlineStr">
        <is>
          <t>前期/当期/増減/利益率</t>
        </is>
      </c>
    </row>
    <row r="13" ht="18" customHeight="1">
      <c r="A13" s="5" t="inlineStr">
        <is>
          <t>KPI_Analysis</t>
        </is>
      </c>
      <c r="B13" s="5" t="inlineStr">
        <is>
          <t>分析指標（流動比率、自己資本比率、ROA等）</t>
        </is>
      </c>
      <c r="C13" s="7" t="inlineStr">
        <is>
          <t>計算</t>
        </is>
      </c>
      <c r="D13" s="5" t="inlineStr">
        <is>
          <t>後分析用</t>
        </is>
      </c>
    </row>
    <row r="14" ht="18" customHeight="1">
      <c r="A14" s="5" t="inlineStr">
        <is>
          <t>BS_Map</t>
        </is>
      </c>
      <c r="B14" s="5" t="inlineStr">
        <is>
          <t>B/Sの中間集計</t>
        </is>
      </c>
      <c r="C14" s="7" t="inlineStr">
        <is>
          <t>計算</t>
        </is>
      </c>
      <c r="D14" s="5" t="inlineStr">
        <is>
          <t>補助シート</t>
        </is>
      </c>
    </row>
    <row r="15" ht="18" customHeight="1">
      <c r="A15" s="5" t="inlineStr">
        <is>
          <t>PL_Map</t>
        </is>
      </c>
      <c r="B15" s="5" t="inlineStr">
        <is>
          <t>P/Lの中間集計</t>
        </is>
      </c>
      <c r="C15" s="7" t="inlineStr">
        <is>
          <t>計算</t>
        </is>
      </c>
      <c r="D15" s="5" t="inlineStr">
        <is>
          <t>補助シート</t>
        </is>
      </c>
    </row>
    <row r="16" ht="18" customHeight="1">
      <c r="A16" s="5" t="inlineStr">
        <is>
          <t>SourceNotes</t>
        </is>
      </c>
      <c r="B16" s="5" t="inlineStr">
        <is>
          <t>設計前提・会計ロジック・注意事項</t>
        </is>
      </c>
      <c r="C16" s="8" t="inlineStr">
        <is>
          <t>静的</t>
        </is>
      </c>
      <c r="D16" s="5" t="inlineStr">
        <is>
          <t>実装引き渡し用</t>
        </is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 ht="18" customHeight="1">
      <c r="A1" s="1" t="inlineStr">
        <is>
          <t>SourceNotes / 設計前提</t>
        </is>
      </c>
    </row>
    <row r="2" ht="18" customHeight="1"/>
    <row r="3" ht="18" customHeight="1">
      <c r="A3" s="4" t="inlineStr">
        <is>
          <t>項目</t>
        </is>
      </c>
      <c r="B3" s="4" t="inlineStr">
        <is>
          <t>内容</t>
        </is>
      </c>
    </row>
    <row r="4" ht="18" customHeight="1">
      <c r="A4" s="49" t="inlineStr">
        <is>
          <t>テンプレート目的</t>
        </is>
      </c>
      <c r="B4" s="50" t="inlineStr">
        <is>
          <t>実装着手用のB/S・P/L分析テンプレート。外部開示用の法定開示様式そのものではなく、複式簿記から分析可能な管理会計・開示寄りのレイアウト。</t>
        </is>
      </c>
    </row>
    <row r="5" ht="18" customHeight="1">
      <c r="A5" s="49" t="inlineStr">
        <is>
          <t>入力思想</t>
        </is>
      </c>
      <c r="B5" s="50" t="inlineStr">
        <is>
          <t>Journal_Input に複式仕訳を入力し、TB_Detail で借方・貸方・残高を集計、BS/PL/KPIに反映。</t>
        </is>
      </c>
    </row>
    <row r="6" ht="18" customHeight="1">
      <c r="A6" s="49" t="inlineStr">
        <is>
          <t>勘定科目</t>
        </is>
      </c>
      <c r="B6" s="50" t="inlineStr">
        <is>
          <t>上場会社で一般的な表示区分を意識した詳細科目を収録。未使用科目は0のままでも可。</t>
        </is>
      </c>
    </row>
    <row r="7" ht="18" customHeight="1">
      <c r="A7" s="49" t="inlineStr">
        <is>
          <t>B/S構造</t>
        </is>
      </c>
      <c r="B7" s="50" t="inlineStr">
        <is>
          <t>流動資産 / 固定資産 / 流動負債 / 固定負債 / 純資産の区分。投資その他の資産、OCI、非支配株主持分を含む。</t>
        </is>
      </c>
    </row>
    <row r="8" ht="18" customHeight="1">
      <c r="A8" s="49" t="inlineStr">
        <is>
          <t>P/L構造</t>
        </is>
      </c>
      <c r="B8" s="50" t="inlineStr">
        <is>
          <t>純売上高 / 売上原価 / 売上総利益 / 販売費及び一般管理費 / 営業利益 / 営業外 / 特別損益 / 法人税等 / 当期純利益。</t>
        </is>
      </c>
    </row>
    <row r="9" ht="18" customHeight="1">
      <c r="A9" s="49" t="inlineStr">
        <is>
          <t>分析指標</t>
        </is>
      </c>
      <c r="B9" s="50" t="inlineStr">
        <is>
          <t>流動比率、当座比率、自己資本比率、D/E、純有利子負債、売上総利益率、営業利益率、経常利益率、当期純利益率、EBITDAマージン、ROA、ROE、総資産回転率、固定比率、インタレスト・カバレッジ。</t>
        </is>
      </c>
    </row>
    <row r="10" ht="18" customHeight="1">
      <c r="A10" s="49" t="inlineStr">
        <is>
          <t>符号ルール</t>
        </is>
      </c>
      <c r="B10" s="50" t="inlineStr">
        <is>
          <t>入力は正数、表示上の符号・控除は Display_Sign とマッピングで制御。</t>
        </is>
      </c>
    </row>
    <row r="11" ht="18" customHeight="1">
      <c r="A11" s="49" t="inlineStr">
        <is>
          <t>前期/当期</t>
        </is>
      </c>
      <c r="B11" s="50" t="inlineStr">
        <is>
          <t>前期開始残高は COA_Master に入力。当期開始は前期末を自動引継ぎ。</t>
        </is>
      </c>
    </row>
    <row r="12" ht="18" customHeight="1">
      <c r="A12" s="49" t="inlineStr">
        <is>
          <t>注意</t>
        </is>
      </c>
      <c r="B12" s="50" t="inlineStr">
        <is>
          <t>税務提出用の正式帳票（青色申告決算書、収支内訳書、支払調書）とは別に管理すること。</t>
        </is>
      </c>
    </row>
    <row r="13">
      <c r="A13" s="49" t="inlineStr">
        <is>
          <t>利益剰余金の扱い</t>
        </is>
      </c>
      <c r="B13" s="50" t="inlineStr">
        <is>
          <t>この分析テンプレートでは、closing entry を Journal_Input に入力しなくても B/S が閉じるよう、利益剰余金表示行に前期/当期純利益を加算しています。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2026-04-01T15:23:42Z</dcterms:created>
  <dcterms:modified xsi:type="dcterms:W3CDTF">2026-04-01T15:23:43Z</dcterms:modified>
</cp:coreProperties>
</file>