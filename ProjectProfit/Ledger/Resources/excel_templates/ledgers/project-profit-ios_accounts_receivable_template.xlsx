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45.xml" ContentType="application/vnd.openxmlformats-officedocument.spreadsheetml.worksheet+xml"/>
  <ns0:Override PartName="/xl/worksheets/sheet46.xml" ContentType="application/vnd.openxmlformats-officedocument.spreadsheetml.worksheet+xml"/>
  <ns0:Override PartName="/xl/worksheets/sheet47.xml" ContentType="application/vnd.openxmlformats-officedocument.spreadsheetml.worksheet+xml"/>
  <ns0:Override PartName="/xl/worksheets/sheet4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1_AR_Form" sheetId="1" r:id="R713309df2f2e4b15"/>
    <sheet name="L11_AR_Sample" sheetId="2" r:id="Rc636ca7912094d75"/>
    <sheet name="L11_AR_Map" sheetId="3" r:id="Re85f15e2542043a0"/>
    <sheet name="L11_AR_Notes" sheetId="4" r:id="Rba088bfd11ce49c7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45.xml" Id="R713309df2f2e4b15" /><ns0:Relationship Type="http://schemas.openxmlformats.org/officeDocument/2006/relationships/worksheet" Target="/xl/worksheets/sheet46.xml" Id="Rc636ca7912094d75" /><ns0:Relationship Type="http://schemas.openxmlformats.org/officeDocument/2006/relationships/worksheet" Target="/xl/worksheets/sheet47.xml" Id="Re85f15e2542043a0" /><ns0:Relationship Type="http://schemas.openxmlformats.org/officeDocument/2006/relationships/worksheet" Target="/xl/worksheets/sheet48.xml" Id="Rba088bfd11ce49c7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売掛帳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売掛帳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得意先名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売上金額</x:t>
        </x:is>
      </x:c>
      <x:c r="H9" s="9" t="inlineStr">
        <x:is>
          <x:t xml:space="preserve">入金金額</x:t>
        </x:is>
      </x:c>
      <x:c r="I9" s="9" t="inlineStr">
        <x:is>
          <x:t xml:space="preserve">売掛金残高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E10*F10</x:f>
        <x:v>0</x:v>
      </x:c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E11*F11</x:f>
        <x:v>0</x:v>
      </x:c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E12*F12</x:f>
        <x:v>0</x:v>
      </x:c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売掛帳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売掛帳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得意先名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売上金額</x:t>
        </x:is>
      </x:c>
      <x:c r="H9" s="9" t="inlineStr">
        <x:is>
          <x:t xml:space="preserve">入金金額</x:t>
        </x:is>
      </x:c>
      <x:c r="I9" s="9" t="inlineStr">
        <x:is>
          <x:t xml:space="preserve">売掛金残高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売上高</x:t>
        </x:is>
      </x:c>
      <x:c r="D10" s="22" t="inlineStr">
        <x:is>
          <x:t xml:space="preserve">A社 売上</x:t>
        </x:is>
      </x:c>
      <x:c r="E10" s="23" t="n">
        <x:v>2</x:v>
      </x:c>
      <x:c r="F10" s="23" t="n">
        <x:v>50000</x:v>
      </x:c>
      <x:c r="G10" s="24">
        <x:f>E10*F10</x:f>
        <x:v>100000</x:v>
      </x:c>
      <x:c r="H10" s="23" t="n">
        <x:v>0</x:v>
      </x:c>
      <x:c r="I10" s="24">
        <x:f>B7+G10-H10</x:f>
        <x:v>100000</x:v>
      </x:c>
    </x:row>
    <x:row r="11">
      <x:c r="A11" s="22" t="n">
        <x:v>1</x:v>
      </x:c>
      <x:c r="B11" s="22" t="n">
        <x:v>12</x:v>
      </x:c>
      <x:c r="C11" s="22" t="inlineStr">
        <x:is>
          <x:t xml:space="preserve">売上高</x:t>
        </x:is>
      </x:c>
      <x:c r="D11" s="22" t="inlineStr">
        <x:is>
          <x:t xml:space="preserve">A社 追加売上</x:t>
        </x:is>
      </x:c>
      <x:c r="E11" s="23" t="n">
        <x:v>1</x:v>
      </x:c>
      <x:c r="F11" s="23" t="n">
        <x:v>30000</x:v>
      </x:c>
      <x:c r="G11" s="24">
        <x:f>E11*F11</x:f>
        <x:v>30000</x:v>
      </x:c>
      <x:c r="H11" s="23" t="n">
        <x:v>0</x:v>
      </x:c>
      <x:c r="I11" s="24">
        <x:f>I10+G11-H11</x:f>
        <x:v>130000</x:v>
      </x:c>
    </x:row>
    <x:row r="12">
      <x:c r="A12" s="22" t="n">
        <x:v>1</x:v>
      </x:c>
      <x:c r="B12" s="22" t="n">
        <x:v>20</x:v>
      </x:c>
      <x:c r="C12" s="22" t="inlineStr">
        <x:is>
          <x:t xml:space="preserve">普通預金</x:t>
        </x:is>
      </x:c>
      <x:c r="D12" s="22" t="inlineStr">
        <x:is>
          <x:t xml:space="preserve">A社 入金</x:t>
        </x:is>
      </x:c>
      <x:c r="E12" s="23" t="n">
        <x:v>0</x:v>
      </x:c>
      <x:c r="F12" s="23" t="n">
        <x:v>0</x:v>
      </x:c>
      <x:c r="G12" s="24">
        <x:f>E12*F12</x:f>
        <x:v>0</x:v>
      </x:c>
      <x:c r="H12" s="23" t="n">
        <x:v>80000</x:v>
      </x:c>
      <x:c r="I12" s="24">
        <x:f>I11+G12-H12</x:f>
        <x:v>50000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50000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50000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50000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50000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50000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50000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50000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50000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50000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3</x:v>
      </x:c>
      <x:c r="F22" s="27">
        <x:f>SUM(F10:F21)</x:f>
        <x:v>80000</x:v>
      </x:c>
      <x:c r="G22" s="27">
        <x:f>SUM(G10:G21)</x:f>
        <x:v>130000</x:v>
      </x:c>
      <x:c r="H22" s="27">
        <x:f>SUM(H10:H21)</x:f>
        <x:v>80000</x:v>
      </x:c>
      <x:c r="I22" s="27">
        <x:f>SUM(I10:I21)</x:f>
        <x:v>730000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売掛帳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得意先名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数量</x:t>
        </x:is>
      </x:c>
      <x:c r="C13" s="10" t="inlineStr">
        <x:is>
          <x:t xml:space="preserve">quantity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単価</x:t>
        </x:is>
      </x:c>
      <x:c r="C14" s="10" t="inlineStr">
        <x:is>
          <x:t xml:space="preserve">unit_price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売上金額</x:t>
        </x:is>
      </x:c>
      <x:c r="C15" s="10" t="inlineStr">
        <x:is>
          <x:t xml:space="preserve">sales_amount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入金金額</x:t>
        </x:is>
      </x:c>
      <x:c r="C16" s="10" t="inlineStr">
        <x:is>
          <x:t xml:space="preserve">received_amount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売掛金残高</x:t>
        </x:is>
      </x:c>
      <x:c r="C17" s="10" t="inlineStr">
        <x:is>
          <x:t xml:space="preserve">ending_ar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売掛帳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S5</x:t>
        </x:is>
      </x:c>
      <x:c r="B7" t="inlineStr">
        <x:is>
          <x:t xml:space="preserve">弥生一覧</x:t>
        </x:is>
      </x:c>
      <x:c r="C7" t="inlineStr">
        <x:is>
          <x:t xml:space="preserve">https://www.yayoi-kk.co.jp/shinkoku/template/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S8</x:t>
        </x:is>
      </x:c>
      <x:c r="B8" t="inlineStr">
        <x:is>
          <x:t xml:space="preserve">弥生 売掛帳</x:t>
        </x:is>
      </x:c>
      <x:c r="C8" t="inlineStr">
        <x:is>
          <x:t xml:space="preserve">https://www.yayoi-kk.co.jp/shinkoku/template/urikakecho/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得意先別の売掛帳。売上金額=数量×単価。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