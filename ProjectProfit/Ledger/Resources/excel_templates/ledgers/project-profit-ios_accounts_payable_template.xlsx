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49.xml" ContentType="application/vnd.openxmlformats-officedocument.spreadsheetml.worksheet+xml"/>
  <ns0:Override PartName="/xl/worksheets/sheet50.xml" ContentType="application/vnd.openxmlformats-officedocument.spreadsheetml.worksheet+xml"/>
  <ns0:Override PartName="/xl/worksheets/sheet51.xml" ContentType="application/vnd.openxmlformats-officedocument.spreadsheetml.worksheet+xml"/>
  <ns0:Override PartName="/xl/worksheets/sheet52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12_AP_Form" sheetId="1" r:id="Rcfe493b6839f45e9"/>
    <sheet name="L12_AP_Sample" sheetId="2" r:id="Rde4c7f4a2fb649ef"/>
    <sheet name="L12_AP_Map" sheetId="3" r:id="R01269d8abc2f45a2"/>
    <sheet name="L12_AP_Notes" sheetId="4" r:id="R3ad7b747d46045b0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49.xml" Id="Rcfe493b6839f45e9" /><ns0:Relationship Type="http://schemas.openxmlformats.org/officeDocument/2006/relationships/worksheet" Target="/xl/worksheets/sheet50.xml" Id="Rde4c7f4a2fb649ef" /><ns0:Relationship Type="http://schemas.openxmlformats.org/officeDocument/2006/relationships/worksheet" Target="/xl/worksheets/sheet51.xml" Id="R01269d8abc2f45a2" /><ns0:Relationship Type="http://schemas.openxmlformats.org/officeDocument/2006/relationships/worksheet" Target="/xl/worksheets/sheet52.xml" Id="R3ad7b747d46045b0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16" customWidth="1"/>
    <x:col min="4" max="4" width="24" customWidth="1"/>
    <x:col min="5" max="5" width="10" customWidth="1"/>
    <x:col min="6" max="6" width="12" customWidth="1"/>
    <x:col min="7" max="7" width="14" customWidth="1"/>
    <x:col min="8" max="8" width="14" customWidth="1"/>
    <x:col min="9" max="9" width="16" customWidth="1"/>
  </x:cols>
  <x:sheetData>
    <x:row r="1" ht="24" customHeight="1">
      <x:c r="A1" s="7" t="inlineStr">
        <x:is>
          <x:t xml:space="preserve">買掛帳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買掛帳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仕入先名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数量</x:t>
        </x:is>
      </x:c>
      <x:c r="F9" s="9" t="inlineStr">
        <x:is>
          <x:t xml:space="preserve">単価</x:t>
        </x:is>
      </x:c>
      <x:c r="G9" s="9" t="inlineStr">
        <x:is>
          <x:t xml:space="preserve">仕入金額</x:t>
        </x:is>
      </x:c>
      <x:c r="H9" s="9" t="inlineStr">
        <x:is>
          <x:t xml:space="preserve">支払金額</x:t>
        </x:is>
      </x:c>
      <x:c r="I9" s="9" t="inlineStr">
        <x:is>
          <x:t xml:space="preserve">買掛金残高</x:t>
        </x:is>
      </x:c>
    </x:row>
    <x:row r="10">
      <x:c r="A10" s="22" t="n"/>
      <x:c r="B10" s="22" t="n"/>
      <x:c r="C10" s="22" t="n"/>
      <x:c r="D10" s="22" t="n"/>
      <x:c r="E10" s="23" t="n"/>
      <x:c r="F10" s="23" t="n"/>
      <x:c r="G10" s="24">
        <x:f>E10*F10</x:f>
        <x:v>0</x:v>
      </x:c>
      <x:c r="H10" s="23" t="n"/>
      <x:c r="I10" s="24">
        <x:f>B7+G10-H10</x:f>
        <x:v>0</x:v>
      </x:c>
    </x:row>
    <x:row r="11">
      <x:c r="A11" s="22" t="n"/>
      <x:c r="B11" s="22" t="n"/>
      <x:c r="C11" s="22" t="n"/>
      <x:c r="D11" s="22" t="n"/>
      <x:c r="E11" s="23" t="n"/>
      <x:c r="F11" s="23" t="n"/>
      <x:c r="G11" s="24">
        <x:f>E11*F11</x:f>
        <x:v>0</x:v>
      </x:c>
      <x:c r="H11" s="23" t="n"/>
      <x:c r="I11" s="24">
        <x:f>I10+G11-H11</x:f>
        <x:v>0</x:v>
      </x:c>
    </x:row>
    <x:row r="12">
      <x:c r="A12" s="22" t="n"/>
      <x:c r="B12" s="22" t="n"/>
      <x:c r="C12" s="22" t="n"/>
      <x:c r="D12" s="22" t="n"/>
      <x:c r="E12" s="23" t="n"/>
      <x:c r="F12" s="23" t="n"/>
      <x:c r="G12" s="24">
        <x:f>E12*F12</x:f>
        <x:v>0</x:v>
      </x:c>
      <x:c r="H12" s="23" t="n"/>
      <x:c r="I12" s="24">
        <x:f>I11+G12-H12</x:f>
        <x:v>0</x:v>
      </x:c>
    </x:row>
    <x:row r="13">
      <x:c r="A13" s="22" t="n"/>
      <x:c r="B13" s="22" t="n"/>
      <x:c r="C13" s="22" t="n"/>
      <x:c r="D13" s="22" t="n"/>
      <x:c r="E13" s="23" t="n"/>
      <x:c r="F13" s="23" t="n"/>
      <x:c r="G13" s="24">
        <x:f>E13*F13</x:f>
        <x:v>0</x:v>
      </x:c>
      <x:c r="H13" s="23" t="n"/>
      <x:c r="I13" s="24">
        <x:f>I12+G13-H13</x:f>
        <x:v>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E14*F14</x:f>
        <x:v>0</x:v>
      </x:c>
      <x:c r="H14" s="23" t="n"/>
      <x:c r="I14" s="24">
        <x:f>I13+G14-H14</x:f>
        <x:v>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E15*F15</x:f>
        <x:v>0</x:v>
      </x:c>
      <x:c r="H15" s="23" t="n"/>
      <x:c r="I15" s="24">
        <x:f>I14+G15-H15</x:f>
        <x:v>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E16*F16</x:f>
        <x:v>0</x:v>
      </x:c>
      <x:c r="H16" s="23" t="n"/>
      <x:c r="I16" s="24">
        <x:f>I15+G16-H16</x:f>
        <x:v>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E17*F17</x:f>
        <x:v>0</x:v>
      </x:c>
      <x:c r="H17" s="23" t="n"/>
      <x:c r="I17" s="24">
        <x:f>I16+G17-H17</x:f>
        <x:v>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E18*F18</x:f>
        <x:v>0</x:v>
      </x:c>
      <x:c r="H18" s="23" t="n"/>
      <x:c r="I18" s="24">
        <x:f>I17+G18-H18</x:f>
        <x:v>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E19*F19</x:f>
        <x:v>0</x:v>
      </x:c>
      <x:c r="H19" s="23" t="n"/>
      <x:c r="I19" s="24">
        <x:f>I18+G19-H19</x:f>
        <x:v>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E20*F20</x:f>
        <x:v>0</x:v>
      </x:c>
      <x:c r="H20" s="23" t="n"/>
      <x:c r="I20" s="24">
        <x:f>I19+G20-H20</x:f>
        <x:v>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E21*F21</x:f>
        <x:v>0</x:v>
      </x:c>
      <x:c r="H21" s="23" t="n"/>
      <x:c r="I21" s="24">
        <x:f>I20+G21-H21</x:f>
        <x:v>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0</x:v>
      </x:c>
      <x:c r="F22" s="27">
        <x:f>SUM(F10:F21)</x:f>
        <x:v>0</x:v>
      </x:c>
      <x:c r="G22" s="27">
        <x:f>SUM(G10:G21)</x:f>
        <x:v>0</x:v>
      </x:c>
      <x:c r="H22" s="27">
        <x:f>SUM(H10:H21)</x:f>
        <x:v>0</x:v>
      </x:c>
      <x:c r="I22" s="27">
        <x:f>SUM(I10:I21)</x:f>
        <x:v>0</x:v>
      </x:c>
    </x:row>
  </x:sheetData>
  <x:mergeCells>
    <x:mergeCell ref="A1:I1"/>
    <x:mergeCell ref="A2:I2"/>
    <x:mergeCell ref="D4:H7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7" customWidth="1"/>
    <x:col min="2" max="2" width="7" customWidth="1"/>
    <x:col min="3" max="3" width="16" customWidth="1"/>
    <x:col min="4" max="4" width="24" customWidth="1"/>
    <x:col min="5" max="5" width="10" customWidth="1"/>
    <x:col min="6" max="6" width="12" customWidth="1"/>
    <x:col min="7" max="7" width="14" customWidth="1"/>
    <x:col min="8" max="8" width="14" customWidth="1"/>
    <x:col min="9" max="9" width="16" customWidth="1"/>
  </x:cols>
  <x:sheetData>
    <x:row r="1" ht="24" customHeight="1">
      <x:c r="A1" s="7" t="inlineStr">
        <x:is>
          <x:t xml:space="preserve">買掛帳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買掛帳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仕入先名</x:t>
        </x:is>
      </x:c>
      <x:c r="B6" s="16" t="n"/>
      <x:c r="D6" s="17" t="n"/>
      <x:c r="H6" s="18" t="n"/>
    </x:row>
    <x:row r="7">
      <x:c r="A7" s="11" t="inlineStr">
        <x:is>
          <x:t xml:space="preserve">前期より繰越</x:t>
        </x:is>
      </x:c>
      <x:c r="B7" s="12" t="n">
        <x:v>0</x:v>
      </x:c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数量</x:t>
        </x:is>
      </x:c>
      <x:c r="F9" s="9" t="inlineStr">
        <x:is>
          <x:t xml:space="preserve">単価</x:t>
        </x:is>
      </x:c>
      <x:c r="G9" s="9" t="inlineStr">
        <x:is>
          <x:t xml:space="preserve">仕入金額</x:t>
        </x:is>
      </x:c>
      <x:c r="H9" s="9" t="inlineStr">
        <x:is>
          <x:t xml:space="preserve">支払金額</x:t>
        </x:is>
      </x:c>
      <x:c r="I9" s="9" t="inlineStr">
        <x:is>
          <x:t xml:space="preserve">買掛金残高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仕入高</x:t>
        </x:is>
      </x:c>
      <x:c r="D10" s="22" t="inlineStr">
        <x:is>
          <x:t xml:space="preserve">B社 仕入</x:t>
        </x:is>
      </x:c>
      <x:c r="E10" s="23" t="n">
        <x:v>10</x:v>
      </x:c>
      <x:c r="F10" s="23" t="n">
        <x:v>3000</x:v>
      </x:c>
      <x:c r="G10" s="24">
        <x:f>E10*F10</x:f>
        <x:v>30000</x:v>
      </x:c>
      <x:c r="H10" s="23" t="n">
        <x:v>0</x:v>
      </x:c>
      <x:c r="I10" s="24">
        <x:f>B7+G10-H10</x:f>
        <x:v>30000</x:v>
      </x:c>
    </x:row>
    <x:row r="11">
      <x:c r="A11" s="22" t="n">
        <x:v>1</x:v>
      </x:c>
      <x:c r="B11" s="22" t="n">
        <x:v>15</x:v>
      </x:c>
      <x:c r="C11" s="22" t="inlineStr">
        <x:is>
          <x:t xml:space="preserve">仕入高</x:t>
        </x:is>
      </x:c>
      <x:c r="D11" s="22" t="inlineStr">
        <x:is>
          <x:t xml:space="preserve">B社 追加仕入</x:t>
        </x:is>
      </x:c>
      <x:c r="E11" s="23" t="n">
        <x:v>5</x:v>
      </x:c>
      <x:c r="F11" s="23" t="n">
        <x:v>2000</x:v>
      </x:c>
      <x:c r="G11" s="24">
        <x:f>E11*F11</x:f>
        <x:v>10000</x:v>
      </x:c>
      <x:c r="H11" s="23" t="n">
        <x:v>0</x:v>
      </x:c>
      <x:c r="I11" s="24">
        <x:f>I10+G11-H11</x:f>
        <x:v>40000</x:v>
      </x:c>
    </x:row>
    <x:row r="12">
      <x:c r="A12" s="22" t="n">
        <x:v>1</x:v>
      </x:c>
      <x:c r="B12" s="22" t="n">
        <x:v>28</x:v>
      </x:c>
      <x:c r="C12" s="22" t="inlineStr">
        <x:is>
          <x:t xml:space="preserve">普通預金</x:t>
        </x:is>
      </x:c>
      <x:c r="D12" s="22" t="inlineStr">
        <x:is>
          <x:t xml:space="preserve">B社 支払</x:t>
        </x:is>
      </x:c>
      <x:c r="E12" s="23" t="n">
        <x:v>0</x:v>
      </x:c>
      <x:c r="F12" s="23" t="n">
        <x:v>0</x:v>
      </x:c>
      <x:c r="G12" s="24">
        <x:f>E12*F12</x:f>
        <x:v>0</x:v>
      </x:c>
      <x:c r="H12" s="23" t="n">
        <x:v>25000</x:v>
      </x:c>
      <x:c r="I12" s="24">
        <x:f>I11+G12-H12</x:f>
        <x:v>15000</x:v>
      </x:c>
    </x:row>
    <x:row r="13">
      <x:c r="A13" s="22" t="n"/>
      <x:c r="B13" s="22" t="n"/>
      <x:c r="C13" s="22" t="n"/>
      <x:c r="D13" s="22" t="n"/>
      <x:c r="E13" s="23" t="n"/>
      <x:c r="F13" s="23" t="n"/>
      <x:c r="G13" s="24">
        <x:f>E13*F13</x:f>
        <x:v>0</x:v>
      </x:c>
      <x:c r="H13" s="23" t="n"/>
      <x:c r="I13" s="24">
        <x:f>I12+G13-H13</x:f>
        <x:v>15000</x:v>
      </x:c>
    </x:row>
    <x:row r="14">
      <x:c r="A14" s="22" t="n"/>
      <x:c r="B14" s="22" t="n"/>
      <x:c r="C14" s="22" t="n"/>
      <x:c r="D14" s="22" t="n"/>
      <x:c r="E14" s="23" t="n"/>
      <x:c r="F14" s="23" t="n"/>
      <x:c r="G14" s="24">
        <x:f>E14*F14</x:f>
        <x:v>0</x:v>
      </x:c>
      <x:c r="H14" s="23" t="n"/>
      <x:c r="I14" s="24">
        <x:f>I13+G14-H14</x:f>
        <x:v>15000</x:v>
      </x:c>
    </x:row>
    <x:row r="15">
      <x:c r="A15" s="22" t="n"/>
      <x:c r="B15" s="22" t="n"/>
      <x:c r="C15" s="22" t="n"/>
      <x:c r="D15" s="22" t="n"/>
      <x:c r="E15" s="23" t="n"/>
      <x:c r="F15" s="23" t="n"/>
      <x:c r="G15" s="24">
        <x:f>E15*F15</x:f>
        <x:v>0</x:v>
      </x:c>
      <x:c r="H15" s="23" t="n"/>
      <x:c r="I15" s="24">
        <x:f>I14+G15-H15</x:f>
        <x:v>15000</x:v>
      </x:c>
    </x:row>
    <x:row r="16">
      <x:c r="A16" s="22" t="n"/>
      <x:c r="B16" s="22" t="n"/>
      <x:c r="C16" s="22" t="n"/>
      <x:c r="D16" s="22" t="n"/>
      <x:c r="E16" s="23" t="n"/>
      <x:c r="F16" s="23" t="n"/>
      <x:c r="G16" s="24">
        <x:f>E16*F16</x:f>
        <x:v>0</x:v>
      </x:c>
      <x:c r="H16" s="23" t="n"/>
      <x:c r="I16" s="24">
        <x:f>I15+G16-H16</x:f>
        <x:v>15000</x:v>
      </x:c>
    </x:row>
    <x:row r="17">
      <x:c r="A17" s="22" t="n"/>
      <x:c r="B17" s="22" t="n"/>
      <x:c r="C17" s="22" t="n"/>
      <x:c r="D17" s="22" t="n"/>
      <x:c r="E17" s="23" t="n"/>
      <x:c r="F17" s="23" t="n"/>
      <x:c r="G17" s="24">
        <x:f>E17*F17</x:f>
        <x:v>0</x:v>
      </x:c>
      <x:c r="H17" s="23" t="n"/>
      <x:c r="I17" s="24">
        <x:f>I16+G17-H17</x:f>
        <x:v>15000</x:v>
      </x:c>
    </x:row>
    <x:row r="18">
      <x:c r="A18" s="22" t="n"/>
      <x:c r="B18" s="22" t="n"/>
      <x:c r="C18" s="22" t="n"/>
      <x:c r="D18" s="22" t="n"/>
      <x:c r="E18" s="23" t="n"/>
      <x:c r="F18" s="23" t="n"/>
      <x:c r="G18" s="24">
        <x:f>E18*F18</x:f>
        <x:v>0</x:v>
      </x:c>
      <x:c r="H18" s="23" t="n"/>
      <x:c r="I18" s="24">
        <x:f>I17+G18-H18</x:f>
        <x:v>15000</x:v>
      </x:c>
    </x:row>
    <x:row r="19">
      <x:c r="A19" s="22" t="n"/>
      <x:c r="B19" s="22" t="n"/>
      <x:c r="C19" s="22" t="n"/>
      <x:c r="D19" s="22" t="n"/>
      <x:c r="E19" s="23" t="n"/>
      <x:c r="F19" s="23" t="n"/>
      <x:c r="G19" s="24">
        <x:f>E19*F19</x:f>
        <x:v>0</x:v>
      </x:c>
      <x:c r="H19" s="23" t="n"/>
      <x:c r="I19" s="24">
        <x:f>I18+G19-H19</x:f>
        <x:v>15000</x:v>
      </x:c>
    </x:row>
    <x:row r="20">
      <x:c r="A20" s="22" t="n"/>
      <x:c r="B20" s="22" t="n"/>
      <x:c r="C20" s="22" t="n"/>
      <x:c r="D20" s="22" t="n"/>
      <x:c r="E20" s="23" t="n"/>
      <x:c r="F20" s="23" t="n"/>
      <x:c r="G20" s="24">
        <x:f>E20*F20</x:f>
        <x:v>0</x:v>
      </x:c>
      <x:c r="H20" s="23" t="n"/>
      <x:c r="I20" s="24">
        <x:f>I19+G20-H20</x:f>
        <x:v>15000</x:v>
      </x:c>
    </x:row>
    <x:row r="21">
      <x:c r="A21" s="22" t="n"/>
      <x:c r="B21" s="22" t="n"/>
      <x:c r="C21" s="22" t="n"/>
      <x:c r="D21" s="22" t="n"/>
      <x:c r="E21" s="23" t="n"/>
      <x:c r="F21" s="23" t="n"/>
      <x:c r="G21" s="24">
        <x:f>E21*F21</x:f>
        <x:v>0</x:v>
      </x:c>
      <x:c r="H21" s="23" t="n"/>
      <x:c r="I21" s="24">
        <x:f>I20+G21-H21</x:f>
        <x:v>15000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7">
        <x:f>SUM(E10:E21)</x:f>
        <x:v>15</x:v>
      </x:c>
      <x:c r="F22" s="27">
        <x:f>SUM(F10:F21)</x:f>
        <x:v>5000</x:v>
      </x:c>
      <x:c r="G22" s="27">
        <x:f>SUM(G10:G21)</x:f>
        <x:v>40000</x:v>
      </x:c>
      <x:c r="H22" s="27">
        <x:f>SUM(H10:H21)</x:f>
        <x:v>25000</x:v>
      </x:c>
      <x:c r="I22" s="27">
        <x:f>SUM(I10:I21)</x:f>
        <x:v>220000</x:v>
      </x:c>
    </x:row>
  </x:sheetData>
  <x:mergeCells>
    <x:mergeCell ref="A1:I1"/>
    <x:mergeCell ref="A2:I2"/>
    <x:mergeCell ref="D4:H7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買掛帳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仕入先名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前期より繰越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相手科目</x:t>
        </x:is>
      </x:c>
      <x:c r="C11" s="10" t="inlineStr">
        <x:is>
          <x:t xml:space="preserve">counter_account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摘要</x:t>
        </x:is>
      </x:c>
      <x:c r="C12" s="10" t="inlineStr">
        <x:is>
          <x:t xml:space="preserve">description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数量</x:t>
        </x:is>
      </x:c>
      <x:c r="C13" s="10" t="inlineStr">
        <x:is>
          <x:t xml:space="preserve">quantity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単価</x:t>
        </x:is>
      </x:c>
      <x:c r="C14" s="10" t="inlineStr">
        <x:is>
          <x:t xml:space="preserve">unit_price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仕入金額</x:t>
        </x:is>
      </x:c>
      <x:c r="C15" s="10" t="inlineStr">
        <x:is>
          <x:t xml:space="preserve">purchase_amount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支払金額</x:t>
        </x:is>
      </x:c>
      <x:c r="C16" s="10" t="inlineStr">
        <x:is>
          <x:t xml:space="preserve">paid_amount</x:t>
        </x:is>
      </x:c>
      <x:c r="D16" s="10" t="inlineStr">
        <x:is>
          <x:t xml:space="preserve">H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  <x:row r="17">
      <x:c r="A17" s="10" t="inlineStr">
        <x:is>
          <x:t xml:space="preserve">Detail</x:t>
        </x:is>
      </x:c>
      <x:c r="B17" s="10" t="inlineStr">
        <x:is>
          <x:t xml:space="preserve">買掛金残高</x:t>
        </x:is>
      </x:c>
      <x:c r="C17" s="10" t="inlineStr">
        <x:is>
          <x:t xml:space="preserve">ending_ap</x:t>
        </x:is>
      </x:c>
      <x:c r="D17" s="10" t="inlineStr">
        <x:is>
          <x:t xml:space="preserve">I</x:t>
        </x:is>
      </x:c>
      <x:c r="E17" s="10" t="inlineStr">
        <x:is>
          <x:t xml:space="preserve">text/number</x:t>
        </x:is>
      </x:c>
      <x:c r="F17" s="10" t="inlineStr">
        <x:is>
          <x:t xml:space="preserve">Y</x:t>
        </x:is>
      </x:c>
      <x:c r="G17" s="10" t="n"/>
      <x:c r="H17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買掛帳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S6</x:t>
        </x:is>
      </x:c>
      <x:c r="B7" t="inlineStr">
        <x:is>
          <x:t xml:space="preserve">弥生一覧</x:t>
        </x:is>
      </x:c>
      <x:c r="C7" t="inlineStr">
        <x:is>
          <x:t xml:space="preserve">https://www.yayoi-kk.co.jp/kaikei/template/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8">
      <x:c r="A8" t="inlineStr">
        <x:is>
          <x:t xml:space="preserve">S9</x:t>
        </x:is>
      </x:c>
      <x:c r="B8" t="inlineStr">
        <x:is>
          <x:t xml:space="preserve">弥生 買掛帳</x:t>
        </x:is>
      </x:c>
      <x:c r="C8" t="inlineStr">
        <x:is>
          <x:t xml:space="preserve">https://www.yayoi-kk.co.jp/kaikei/template/kaikakecho/</x:t>
        </x:is>
      </x:c>
      <x:c r="D8" t="inlineStr">
        <x:is>
          <x:t xml:space="preserve">採用元</x:t>
        </x:is>
      </x:c>
      <x:c r="E8" t="inlineStr">
        <x:is>
          <x:t xml:space="preserve">2026-03-28</x:t>
        </x:is>
      </x:c>
      <x:c r="F8" t="inlineStr">
        <x:is>
          <x:t xml:space="preserve">参考原本/正本</x:t>
        </x:is>
      </x:c>
    </x:row>
    <x:row r="10">
      <x:c r="A10" s="28" t="inlineStr">
        <x:is>
          <x:t xml:space="preserve">仕入先別の買掛帳。仕入金額=数量×単価。</x:t>
        </x:is>
      </x:c>
    </x:row>
    <x:row r="11"/>
    <x:row r="12"/>
  </x:sheetData>
  <x:mergeCells>
    <x:mergeCell ref="A2:F2"/>
    <x:mergeCell ref="A10:F12"/>
    <x:mergeCell ref="A1:F1"/>
  </x:mergeCells>
  <x:pageMargins left="0.7" right="0.7" top="0.75" bottom="0.75" header="0.3" footer="0.3"/>
</x:worksheet>
</file>